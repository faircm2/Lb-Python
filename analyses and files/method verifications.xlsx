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rk\Neethling\iems\master\PythonLBCourse\"/>
    </mc:Choice>
  </mc:AlternateContent>
  <bookViews>
    <workbookView xWindow="0" yWindow="0" windowWidth="20325" windowHeight="9330" firstSheet="1" activeTab="5"/>
  </bookViews>
  <sheets>
    <sheet name="streaming verification" sheetId="1" r:id="rId1"/>
    <sheet name="current density verification" sheetId="2" r:id="rId2"/>
    <sheet name="fi-dot verification" sheetId="3" r:id="rId3"/>
    <sheet name="fi-product verification" sheetId="4" r:id="rId4"/>
    <sheet name="factor-verification" sheetId="5" r:id="rId5"/>
    <sheet name="fi-verification" sheetId="6" r:id="rId6"/>
  </sheets>
  <definedNames>
    <definedName name="Cs">'fi-verification'!$E$17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6" l="1"/>
  <c r="G9" i="6"/>
  <c r="G10" i="6"/>
  <c r="G11" i="6"/>
  <c r="G12" i="6"/>
  <c r="G13" i="6"/>
  <c r="G14" i="6"/>
  <c r="G15" i="6"/>
  <c r="G7" i="6"/>
  <c r="E17" i="6"/>
  <c r="J12" i="5"/>
  <c r="J13" i="5"/>
  <c r="J14" i="5"/>
  <c r="J15" i="5"/>
  <c r="J16" i="5"/>
  <c r="J17" i="5"/>
  <c r="J18" i="5"/>
  <c r="J19" i="5"/>
  <c r="J11" i="5"/>
  <c r="F8" i="4"/>
  <c r="M8" i="3"/>
  <c r="M9" i="3"/>
  <c r="M10" i="3"/>
  <c r="M11" i="3"/>
  <c r="M12" i="3"/>
  <c r="M13" i="3"/>
  <c r="M14" i="3"/>
  <c r="M15" i="3"/>
  <c r="M7" i="3"/>
  <c r="M16" i="3" l="1"/>
  <c r="L2" i="2"/>
  <c r="M2" i="2"/>
  <c r="L3" i="2"/>
  <c r="M3" i="2"/>
  <c r="L4" i="2"/>
  <c r="L11" i="2" s="1"/>
  <c r="M4" i="2"/>
  <c r="M11" i="2" s="1"/>
  <c r="L5" i="2"/>
  <c r="M5" i="2"/>
  <c r="L6" i="2"/>
  <c r="M6" i="2"/>
  <c r="L7" i="2"/>
  <c r="M7" i="2"/>
  <c r="L8" i="2"/>
  <c r="M8" i="2"/>
  <c r="L9" i="2"/>
  <c r="M9" i="2"/>
  <c r="L10" i="2"/>
  <c r="M10" i="2"/>
  <c r="B11" i="2"/>
</calcChain>
</file>

<file path=xl/sharedStrings.xml><?xml version="1.0" encoding="utf-8"?>
<sst xmlns="http://schemas.openxmlformats.org/spreadsheetml/2006/main" count="102" uniqueCount="53">
  <si>
    <t>array([[0., 0., 0.],</t>
  </si>
  <si>
    <t xml:space="preserve">       [0., 0., 0.],</t>
  </si>
  <si>
    <t xml:space="preserve">       [0., 0., 0.]])</t>
  </si>
  <si>
    <t xml:space="preserve">       [0., 1., 0.],</t>
  </si>
  <si>
    <t xml:space="preserve">       [0., 2., 0.],</t>
  </si>
  <si>
    <t xml:space="preserve">       [0., 3., 0.],</t>
  </si>
  <si>
    <t xml:space="preserve">       [0., 4., 0.],</t>
  </si>
  <si>
    <t xml:space="preserve">       [0., 5., 0.],</t>
  </si>
  <si>
    <t xml:space="preserve">       [0., 6., 0.],</t>
  </si>
  <si>
    <t xml:space="preserve">       [0., 7., 0.],</t>
  </si>
  <si>
    <t xml:space="preserve">       [0., 8., 0.]])</t>
  </si>
  <si>
    <t xml:space="preserve">   array([[0., 0., 0.],</t>
  </si>
  <si>
    <t xml:space="preserve">       [0., 0., 5.],</t>
  </si>
  <si>
    <t xml:space="preserve">       [6., 0., 0.],</t>
  </si>
  <si>
    <t xml:space="preserve">       [0., 0., 1.],</t>
  </si>
  <si>
    <t xml:space="preserve">       [3., 0., 0.],</t>
  </si>
  <si>
    <t xml:space="preserve">       [7., 0., 0.],</t>
  </si>
  <si>
    <t xml:space="preserve">       [0., 0., 8.]])</t>
  </si>
  <si>
    <t>array([0.06345548, 0.00036917])</t>
  </si>
  <si>
    <r>
      <t>                      [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]])             </t>
    </r>
    <r>
      <rPr>
        <sz val="11"/>
        <color rgb="FF6A9955"/>
        <rFont val="Consolas"/>
        <family val="3"/>
      </rPr>
      <t># i=8</t>
    </r>
  </si>
  <si>
    <r>
      <t>                      [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],             </t>
    </r>
    <r>
      <rPr>
        <sz val="11"/>
        <color rgb="FF6A9955"/>
        <rFont val="Consolas"/>
        <family val="3"/>
      </rPr>
      <t># i=7</t>
    </r>
  </si>
  <si>
    <r>
      <t>                      [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],              </t>
    </r>
    <r>
      <rPr>
        <sz val="11"/>
        <color rgb="FF6A9955"/>
        <rFont val="Consolas"/>
        <family val="3"/>
      </rPr>
      <t># i=6</t>
    </r>
  </si>
  <si>
    <r>
      <t>                      [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],               </t>
    </r>
    <r>
      <rPr>
        <sz val="11"/>
        <color rgb="FF6A9955"/>
        <rFont val="Consolas"/>
        <family val="3"/>
      </rPr>
      <t># i=5</t>
    </r>
  </si>
  <si>
    <r>
      <t>                     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],              </t>
    </r>
    <r>
      <rPr>
        <sz val="11"/>
        <color rgb="FF6A9955"/>
        <rFont val="Consolas"/>
        <family val="3"/>
      </rPr>
      <t># i=4</t>
    </r>
  </si>
  <si>
    <r>
      <t>                      [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],              </t>
    </r>
    <r>
      <rPr>
        <sz val="11"/>
        <color rgb="FF6A9955"/>
        <rFont val="Consolas"/>
        <family val="3"/>
      </rPr>
      <t># i=3</t>
    </r>
  </si>
  <si>
    <r>
      <t>                     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],               </t>
    </r>
    <r>
      <rPr>
        <sz val="11"/>
        <color rgb="FF6A9955"/>
        <rFont val="Consolas"/>
        <family val="3"/>
      </rPr>
      <t># i=2</t>
    </r>
  </si>
  <si>
    <r>
      <t>                      [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],               </t>
    </r>
    <r>
      <rPr>
        <sz val="11"/>
        <color rgb="FF6A9955"/>
        <rFont val="Consolas"/>
        <family val="3"/>
      </rPr>
      <t># i=1</t>
    </r>
  </si>
  <si>
    <r>
      <t>discrete_velocities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np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array</t>
    </r>
    <r>
      <rPr>
        <sz val="11"/>
        <color rgb="FFCCCCCC"/>
        <rFont val="Consolas"/>
        <family val="3"/>
      </rPr>
      <t>([[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],     </t>
    </r>
    <r>
      <rPr>
        <sz val="11"/>
        <color rgb="FF6A9955"/>
        <rFont val="Consolas"/>
        <family val="3"/>
      </rPr>
      <t># i=0</t>
    </r>
  </si>
  <si>
    <t>Result from Simulation</t>
  </si>
  <si>
    <t>Calculated result</t>
  </si>
  <si>
    <t>_ltc[:,2,2]</t>
  </si>
  <si>
    <t>index: 3</t>
  </si>
  <si>
    <t>array([0.01649782, 0.        ])</t>
  </si>
  <si>
    <t>_u_ckl[:,2,2]</t>
  </si>
  <si>
    <t>array([ 0.        ,  0.01649782,  0.        , -0.01649782,  0.        ,</t>
  </si>
  <si>
    <t xml:space="preserve">        0.01649782, -0.01649782, -0.01649782,  0.01649782])</t>
  </si>
  <si>
    <t>array([0.00027218])</t>
  </si>
  <si>
    <t>_u_ckl_product_reshaped</t>
  </si>
  <si>
    <t>dot product</t>
  </si>
  <si>
    <t>array([0.44444444, 0.11111111, 0.11111111, 0.11111111, 0.11111111,</t>
  </si>
  <si>
    <t xml:space="preserve">       0.02777778, 0.02777778, 0.02777778, 0.02777778])</t>
  </si>
  <si>
    <t>array([0.99178972])</t>
  </si>
  <si>
    <t>array([0.44079543, 0.11019886, 0.11019886, 0.11019886, 0.11019886,</t>
  </si>
  <si>
    <t xml:space="preserve">       0.02754971, 0.02754971, 0.02754971, 0.02754971])</t>
  </si>
  <si>
    <t>array([0.44025554, 0.127641  , 0.11006389, 0.09491626, 0.11006389,</t>
  </si>
  <si>
    <t xml:space="preserve">       0.03191025, 0.02372907, 0.02372907, 0.03191025])</t>
  </si>
  <si>
    <t>Formula</t>
  </si>
  <si>
    <t>_u_ckl_dot</t>
  </si>
  <si>
    <t>_ones</t>
  </si>
  <si>
    <r>
      <t>feq = factors * (_ones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CDCAA"/>
        <rFont val="Consolas"/>
        <family val="3"/>
      </rPr>
      <t>+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B5CEA8"/>
        <rFont val="Consolas"/>
        <family val="3"/>
      </rPr>
      <t>3</t>
    </r>
    <r>
      <rPr>
        <b/>
        <sz val="11"/>
        <color rgb="FFCCCCCC"/>
        <rFont val="Consolas"/>
        <family val="3"/>
      </rPr>
      <t xml:space="preserve">. </t>
    </r>
    <r>
      <rPr>
        <b/>
        <sz val="11"/>
        <color rgb="FFD4D4D4"/>
        <rFont val="Consolas"/>
        <family val="3"/>
      </rPr>
      <t>*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_u_ckl_dot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4D4D4"/>
        <rFont val="Consolas"/>
        <family val="3"/>
      </rPr>
      <t>/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Cs</t>
    </r>
    <r>
      <rPr>
        <b/>
        <sz val="11"/>
        <color rgb="FFD4D4D4"/>
        <rFont val="Consolas"/>
        <family val="3"/>
      </rPr>
      <t>**</t>
    </r>
    <r>
      <rPr>
        <b/>
        <sz val="11"/>
        <color rgb="FFB5CEA8"/>
        <rFont val="Consolas"/>
        <family val="3"/>
      </rPr>
      <t>2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4D4D4"/>
        <rFont val="Consolas"/>
        <family val="3"/>
      </rPr>
      <t>+</t>
    </r>
    <r>
      <rPr>
        <b/>
        <sz val="11"/>
        <color rgb="FFCCCCCC"/>
        <rFont val="Consolas"/>
        <family val="3"/>
      </rPr>
      <t xml:space="preserve"> (</t>
    </r>
    <r>
      <rPr>
        <b/>
        <sz val="11"/>
        <color rgb="FFB5CEA8"/>
        <rFont val="Consolas"/>
        <family val="3"/>
      </rPr>
      <t>9</t>
    </r>
    <r>
      <rPr>
        <b/>
        <sz val="11"/>
        <color rgb="FFCCCCCC"/>
        <rFont val="Consolas"/>
        <family val="3"/>
      </rPr>
      <t xml:space="preserve">. </t>
    </r>
    <r>
      <rPr>
        <b/>
        <sz val="11"/>
        <color rgb="FFD4D4D4"/>
        <rFont val="Consolas"/>
        <family val="3"/>
      </rPr>
      <t>/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B5CEA8"/>
        <rFont val="Consolas"/>
        <family val="3"/>
      </rPr>
      <t>2</t>
    </r>
    <r>
      <rPr>
        <b/>
        <sz val="11"/>
        <color rgb="FFCCCCCC"/>
        <rFont val="Consolas"/>
        <family val="3"/>
      </rPr>
      <t xml:space="preserve">.) </t>
    </r>
    <r>
      <rPr>
        <b/>
        <sz val="11"/>
        <color rgb="FFD4D4D4"/>
        <rFont val="Consolas"/>
        <family val="3"/>
      </rPr>
      <t>*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_u_ckl_dot</t>
    </r>
    <r>
      <rPr>
        <b/>
        <sz val="11"/>
        <color rgb="FFD4D4D4"/>
        <rFont val="Consolas"/>
        <family val="3"/>
      </rPr>
      <t>**</t>
    </r>
    <r>
      <rPr>
        <b/>
        <sz val="11"/>
        <color rgb="FFB5CEA8"/>
        <rFont val="Consolas"/>
        <family val="3"/>
      </rPr>
      <t>2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4D4D4"/>
        <rFont val="Consolas"/>
        <family val="3"/>
      </rPr>
      <t>/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Cs</t>
    </r>
    <r>
      <rPr>
        <b/>
        <sz val="11"/>
        <color rgb="FFD4D4D4"/>
        <rFont val="Consolas"/>
        <family val="3"/>
      </rPr>
      <t>**</t>
    </r>
    <r>
      <rPr>
        <b/>
        <sz val="11"/>
        <color rgb="FFB5CEA8"/>
        <rFont val="Consolas"/>
        <family val="3"/>
      </rPr>
      <t>4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4D4D4"/>
        <rFont val="Consolas"/>
        <family val="3"/>
      </rPr>
      <t>-</t>
    </r>
    <r>
      <rPr>
        <b/>
        <sz val="11"/>
        <color rgb="FFCCCCCC"/>
        <rFont val="Consolas"/>
        <family val="3"/>
      </rPr>
      <t xml:space="preserve"> (</t>
    </r>
    <r>
      <rPr>
        <b/>
        <sz val="11"/>
        <color rgb="FFB5CEA8"/>
        <rFont val="Consolas"/>
        <family val="3"/>
      </rPr>
      <t>3</t>
    </r>
    <r>
      <rPr>
        <b/>
        <sz val="11"/>
        <color rgb="FFCCCCCC"/>
        <rFont val="Consolas"/>
        <family val="3"/>
      </rPr>
      <t xml:space="preserve">. </t>
    </r>
    <r>
      <rPr>
        <b/>
        <sz val="11"/>
        <color rgb="FFD4D4D4"/>
        <rFont val="Consolas"/>
        <family val="3"/>
      </rPr>
      <t>/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B5CEA8"/>
        <rFont val="Consolas"/>
        <family val="3"/>
      </rPr>
      <t>2</t>
    </r>
    <r>
      <rPr>
        <b/>
        <sz val="11"/>
        <color rgb="FFCCCCCC"/>
        <rFont val="Consolas"/>
        <family val="3"/>
      </rPr>
      <t xml:space="preserve">.) </t>
    </r>
    <r>
      <rPr>
        <b/>
        <sz val="11"/>
        <color rgb="FFD4D4D4"/>
        <rFont val="Consolas"/>
        <family val="3"/>
      </rPr>
      <t>*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_u_ckl_product_reshaped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D4D4D4"/>
        <rFont val="Consolas"/>
        <family val="3"/>
      </rPr>
      <t>/</t>
    </r>
    <r>
      <rPr>
        <b/>
        <sz val="11"/>
        <color rgb="FFCCCCCC"/>
        <rFont val="Consolas"/>
        <family val="3"/>
      </rPr>
      <t xml:space="preserve"> </t>
    </r>
    <r>
      <rPr>
        <b/>
        <sz val="11"/>
        <color rgb="FF9CDCFE"/>
        <rFont val="Consolas"/>
        <family val="3"/>
      </rPr>
      <t>Cs</t>
    </r>
    <r>
      <rPr>
        <b/>
        <sz val="11"/>
        <color rgb="FFD4D4D4"/>
        <rFont val="Consolas"/>
        <family val="3"/>
      </rPr>
      <t>**</t>
    </r>
    <r>
      <rPr>
        <b/>
        <sz val="11"/>
        <color rgb="FFB5CEA8"/>
        <rFont val="Consolas"/>
        <family val="3"/>
      </rPr>
      <t>2)</t>
    </r>
  </si>
  <si>
    <t>Cs</t>
  </si>
  <si>
    <t>factors</t>
  </si>
  <si>
    <t>feq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</si>
</sst>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1"/>
      <scheme val="minor"/>
    </font>
    <font>
      <sz val="11"/>
      <color rgb="FFCCCCCC"/>
      <name val="Consolas"/>
      <family val="3"/>
    </font>
    <font>
      <sz val="11"/>
      <color rgb="FFB5CEA8"/>
      <name val="Consolas"/>
      <family val="3"/>
    </font>
    <font>
      <sz val="11"/>
      <color rgb="FFD4D4D4"/>
      <name val="Consolas"/>
      <family val="3"/>
    </font>
    <font>
      <sz val="11"/>
      <color rgb="FF6A9955"/>
      <name val="Consolas"/>
      <family val="3"/>
    </font>
    <font>
      <sz val="11"/>
      <color rgb="FF9CDCFE"/>
      <name val="Consolas"/>
      <family val="3"/>
    </font>
    <font>
      <sz val="11"/>
      <color rgb="FF4EC9B0"/>
      <name val="Consolas"/>
      <family val="3"/>
    </font>
    <font>
      <sz val="11"/>
      <color rgb="FFDCDCAA"/>
      <name val="Consolas"/>
      <family val="3"/>
    </font>
    <font>
      <b/>
      <sz val="11"/>
      <color rgb="FF9CDCFE"/>
      <name val="Consolas"/>
      <family val="3"/>
    </font>
    <font>
      <b/>
      <sz val="11"/>
      <color rgb="FFCCCCCC"/>
      <name val="Consolas"/>
      <family val="3"/>
    </font>
    <font>
      <b/>
      <sz val="11"/>
      <color rgb="FFDCDCAA"/>
      <name val="Consolas"/>
      <family val="3"/>
    </font>
    <font>
      <b/>
      <sz val="11"/>
      <color rgb="FFB5CEA8"/>
      <name val="Consolas"/>
      <family val="3"/>
    </font>
    <font>
      <b/>
      <sz val="11"/>
      <color rgb="FFD4D4D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/>
    <xf numFmtId="0" fontId="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</xdr:row>
      <xdr:rowOff>76200</xdr:rowOff>
    </xdr:from>
    <xdr:to>
      <xdr:col>14</xdr:col>
      <xdr:colOff>162118</xdr:colOff>
      <xdr:row>9</xdr:row>
      <xdr:rowOff>175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800" y="457200"/>
          <a:ext cx="1381318" cy="1257475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2</xdr:row>
      <xdr:rowOff>114300</xdr:rowOff>
    </xdr:from>
    <xdr:to>
      <xdr:col>8</xdr:col>
      <xdr:colOff>361950</xdr:colOff>
      <xdr:row>11</xdr:row>
      <xdr:rowOff>95250</xdr:rowOff>
    </xdr:to>
    <xdr:cxnSp macro="">
      <xdr:nvCxnSpPr>
        <xdr:cNvPr id="4" name="Gerade Verbindung mit Pfeil 3"/>
        <xdr:cNvCxnSpPr/>
      </xdr:nvCxnSpPr>
      <xdr:spPr>
        <a:xfrm flipV="1">
          <a:off x="6457950" y="495300"/>
          <a:ext cx="0" cy="1885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409575</xdr:colOff>
      <xdr:row>6</xdr:row>
      <xdr:rowOff>114300</xdr:rowOff>
    </xdr:from>
    <xdr:to>
      <xdr:col>8</xdr:col>
      <xdr:colOff>276225</xdr:colOff>
      <xdr:row>15</xdr:row>
      <xdr:rowOff>114300</xdr:rowOff>
    </xdr:to>
    <xdr:cxnSp macro="">
      <xdr:nvCxnSpPr>
        <xdr:cNvPr id="5" name="Gerade Verbindung mit Pfeil 4"/>
        <xdr:cNvCxnSpPr/>
      </xdr:nvCxnSpPr>
      <xdr:spPr>
        <a:xfrm flipH="1" flipV="1">
          <a:off x="5743575" y="1257300"/>
          <a:ext cx="628650" cy="1905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10</xdr:row>
      <xdr:rowOff>95250</xdr:rowOff>
    </xdr:from>
    <xdr:to>
      <xdr:col>9</xdr:col>
      <xdr:colOff>542925</xdr:colOff>
      <xdr:row>10</xdr:row>
      <xdr:rowOff>95250</xdr:rowOff>
    </xdr:to>
    <xdr:cxnSp macro="">
      <xdr:nvCxnSpPr>
        <xdr:cNvPr id="11" name="Gerade Verbindung mit Pfeil 10"/>
        <xdr:cNvCxnSpPr/>
      </xdr:nvCxnSpPr>
      <xdr:spPr>
        <a:xfrm>
          <a:off x="6677025" y="2000250"/>
          <a:ext cx="7239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12</xdr:row>
      <xdr:rowOff>95250</xdr:rowOff>
    </xdr:from>
    <xdr:to>
      <xdr:col>8</xdr:col>
      <xdr:colOff>295275</xdr:colOff>
      <xdr:row>12</xdr:row>
      <xdr:rowOff>95250</xdr:rowOff>
    </xdr:to>
    <xdr:cxnSp macro="">
      <xdr:nvCxnSpPr>
        <xdr:cNvPr id="12" name="Gerade Verbindung mit Pfeil 11"/>
        <xdr:cNvCxnSpPr/>
      </xdr:nvCxnSpPr>
      <xdr:spPr>
        <a:xfrm>
          <a:off x="5838825" y="2381250"/>
          <a:ext cx="5524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17</xdr:row>
      <xdr:rowOff>123825</xdr:rowOff>
    </xdr:from>
    <xdr:to>
      <xdr:col>9</xdr:col>
      <xdr:colOff>409575</xdr:colOff>
      <xdr:row>26</xdr:row>
      <xdr:rowOff>76200</xdr:rowOff>
    </xdr:to>
    <xdr:cxnSp macro="">
      <xdr:nvCxnSpPr>
        <xdr:cNvPr id="13" name="Gerade Verbindung mit Pfeil 12"/>
        <xdr:cNvCxnSpPr/>
      </xdr:nvCxnSpPr>
      <xdr:spPr>
        <a:xfrm>
          <a:off x="6572250" y="3362325"/>
          <a:ext cx="695325" cy="1666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542926</xdr:colOff>
      <xdr:row>16</xdr:row>
      <xdr:rowOff>133350</xdr:rowOff>
    </xdr:from>
    <xdr:to>
      <xdr:col>8</xdr:col>
      <xdr:colOff>295275</xdr:colOff>
      <xdr:row>25</xdr:row>
      <xdr:rowOff>123825</xdr:rowOff>
    </xdr:to>
    <xdr:cxnSp macro="">
      <xdr:nvCxnSpPr>
        <xdr:cNvPr id="16" name="Gerade Verbindung mit Pfeil 15"/>
        <xdr:cNvCxnSpPr/>
      </xdr:nvCxnSpPr>
      <xdr:spPr>
        <a:xfrm flipH="1">
          <a:off x="5876926" y="3181350"/>
          <a:ext cx="514349" cy="17049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5</xdr:row>
      <xdr:rowOff>85726</xdr:rowOff>
    </xdr:from>
    <xdr:to>
      <xdr:col>9</xdr:col>
      <xdr:colOff>581025</xdr:colOff>
      <xdr:row>14</xdr:row>
      <xdr:rowOff>123825</xdr:rowOff>
    </xdr:to>
    <xdr:cxnSp macro="">
      <xdr:nvCxnSpPr>
        <xdr:cNvPr id="21" name="Gerade Verbindung mit Pfeil 20"/>
        <xdr:cNvCxnSpPr/>
      </xdr:nvCxnSpPr>
      <xdr:spPr>
        <a:xfrm flipV="1">
          <a:off x="6562725" y="1038226"/>
          <a:ext cx="876300" cy="17525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13</xdr:row>
      <xdr:rowOff>114300</xdr:rowOff>
    </xdr:from>
    <xdr:to>
      <xdr:col>8</xdr:col>
      <xdr:colOff>304800</xdr:colOff>
      <xdr:row>22</xdr:row>
      <xdr:rowOff>95250</xdr:rowOff>
    </xdr:to>
    <xdr:cxnSp macro="">
      <xdr:nvCxnSpPr>
        <xdr:cNvPr id="24" name="Gerade Verbindung mit Pfeil 23"/>
        <xdr:cNvCxnSpPr/>
      </xdr:nvCxnSpPr>
      <xdr:spPr>
        <a:xfrm flipV="1">
          <a:off x="6400800" y="2590800"/>
          <a:ext cx="0" cy="16954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I10" sqref="I10"/>
    </sheetView>
  </sheetViews>
  <sheetFormatPr baseColWidth="10" defaultRowHeight="15" x14ac:dyDescent="0.25"/>
  <sheetData>
    <row r="1" spans="1:10" x14ac:dyDescent="0.25">
      <c r="A1" t="s">
        <v>0</v>
      </c>
      <c r="C1">
        <v>0</v>
      </c>
      <c r="D1">
        <v>0</v>
      </c>
      <c r="E1">
        <v>0</v>
      </c>
      <c r="F1" t="s">
        <v>11</v>
      </c>
      <c r="H1">
        <v>0</v>
      </c>
      <c r="I1">
        <v>0</v>
      </c>
      <c r="J1">
        <v>0</v>
      </c>
    </row>
    <row r="2" spans="1:10" x14ac:dyDescent="0.25">
      <c r="A2" t="s">
        <v>1</v>
      </c>
      <c r="C2">
        <v>0</v>
      </c>
      <c r="D2">
        <v>0</v>
      </c>
      <c r="E2">
        <v>0</v>
      </c>
      <c r="F2" t="s">
        <v>1</v>
      </c>
      <c r="H2">
        <v>0</v>
      </c>
      <c r="I2">
        <v>0</v>
      </c>
      <c r="J2">
        <v>0</v>
      </c>
    </row>
    <row r="3" spans="1:10" x14ac:dyDescent="0.25">
      <c r="A3" t="s">
        <v>1</v>
      </c>
      <c r="C3">
        <v>0</v>
      </c>
      <c r="D3">
        <v>0</v>
      </c>
      <c r="E3">
        <v>0</v>
      </c>
      <c r="F3" t="s">
        <v>4</v>
      </c>
      <c r="H3">
        <v>0</v>
      </c>
      <c r="I3" s="2">
        <v>2</v>
      </c>
      <c r="J3">
        <v>0</v>
      </c>
    </row>
    <row r="4" spans="1:10" x14ac:dyDescent="0.25">
      <c r="A4" t="s">
        <v>1</v>
      </c>
      <c r="C4">
        <v>0</v>
      </c>
      <c r="D4">
        <v>0</v>
      </c>
      <c r="E4">
        <v>0</v>
      </c>
      <c r="F4" t="s">
        <v>1</v>
      </c>
      <c r="H4">
        <v>0</v>
      </c>
      <c r="I4">
        <v>0</v>
      </c>
      <c r="J4">
        <v>0</v>
      </c>
    </row>
    <row r="5" spans="1:10" x14ac:dyDescent="0.25">
      <c r="A5" t="s">
        <v>1</v>
      </c>
      <c r="C5">
        <v>0</v>
      </c>
      <c r="D5">
        <v>0</v>
      </c>
      <c r="E5">
        <v>0</v>
      </c>
      <c r="F5" t="s">
        <v>1</v>
      </c>
      <c r="H5">
        <v>0</v>
      </c>
      <c r="I5">
        <v>0</v>
      </c>
      <c r="J5">
        <v>0</v>
      </c>
    </row>
    <row r="6" spans="1:10" x14ac:dyDescent="0.25">
      <c r="A6" t="s">
        <v>1</v>
      </c>
      <c r="C6">
        <v>0</v>
      </c>
      <c r="D6">
        <v>0</v>
      </c>
      <c r="E6">
        <v>0</v>
      </c>
      <c r="F6" t="s">
        <v>12</v>
      </c>
      <c r="H6">
        <v>0</v>
      </c>
      <c r="I6">
        <v>0</v>
      </c>
      <c r="J6" s="2">
        <v>5</v>
      </c>
    </row>
    <row r="7" spans="1:10" x14ac:dyDescent="0.25">
      <c r="A7" t="s">
        <v>1</v>
      </c>
      <c r="C7">
        <v>0</v>
      </c>
      <c r="D7">
        <v>0</v>
      </c>
      <c r="E7">
        <v>0</v>
      </c>
      <c r="F7" t="s">
        <v>13</v>
      </c>
      <c r="H7" s="2">
        <v>6</v>
      </c>
      <c r="I7">
        <v>0</v>
      </c>
      <c r="J7">
        <v>0</v>
      </c>
    </row>
    <row r="8" spans="1:10" x14ac:dyDescent="0.25">
      <c r="A8" t="s">
        <v>1</v>
      </c>
      <c r="C8">
        <v>0</v>
      </c>
      <c r="D8">
        <v>0</v>
      </c>
      <c r="E8">
        <v>0</v>
      </c>
      <c r="F8" t="s">
        <v>1</v>
      </c>
      <c r="H8">
        <v>0</v>
      </c>
      <c r="I8">
        <v>0</v>
      </c>
      <c r="J8">
        <v>0</v>
      </c>
    </row>
    <row r="9" spans="1:10" x14ac:dyDescent="0.25">
      <c r="A9" t="s">
        <v>2</v>
      </c>
      <c r="C9">
        <v>0</v>
      </c>
      <c r="D9">
        <v>0</v>
      </c>
      <c r="E9">
        <v>0</v>
      </c>
      <c r="F9" t="s">
        <v>2</v>
      </c>
      <c r="H9">
        <v>0</v>
      </c>
      <c r="I9">
        <v>0</v>
      </c>
      <c r="J9">
        <v>0</v>
      </c>
    </row>
    <row r="10" spans="1:10" x14ac:dyDescent="0.25">
      <c r="A10" t="s">
        <v>0</v>
      </c>
      <c r="C10">
        <v>0</v>
      </c>
      <c r="D10" s="1">
        <v>0</v>
      </c>
      <c r="E10">
        <v>0</v>
      </c>
      <c r="F10" t="s">
        <v>11</v>
      </c>
      <c r="H10">
        <v>0</v>
      </c>
      <c r="I10" s="3">
        <v>0</v>
      </c>
      <c r="J10">
        <v>0</v>
      </c>
    </row>
    <row r="11" spans="1:10" x14ac:dyDescent="0.25">
      <c r="A11" t="s">
        <v>3</v>
      </c>
      <c r="C11">
        <v>0</v>
      </c>
      <c r="D11" s="1">
        <v>1</v>
      </c>
      <c r="E11">
        <v>0</v>
      </c>
      <c r="F11" t="s">
        <v>14</v>
      </c>
      <c r="H11">
        <v>0</v>
      </c>
      <c r="I11" s="3">
        <v>1</v>
      </c>
      <c r="J11" s="2">
        <v>1</v>
      </c>
    </row>
    <row r="12" spans="1:10" x14ac:dyDescent="0.25">
      <c r="A12" t="s">
        <v>4</v>
      </c>
      <c r="C12">
        <v>0</v>
      </c>
      <c r="D12" s="1">
        <v>2</v>
      </c>
      <c r="E12">
        <v>0</v>
      </c>
      <c r="F12" t="s">
        <v>1</v>
      </c>
      <c r="H12">
        <v>0</v>
      </c>
      <c r="I12" s="3">
        <v>2</v>
      </c>
      <c r="J12">
        <v>0</v>
      </c>
    </row>
    <row r="13" spans="1:10" x14ac:dyDescent="0.25">
      <c r="A13" t="s">
        <v>5</v>
      </c>
      <c r="C13">
        <v>0</v>
      </c>
      <c r="D13" s="1">
        <v>3</v>
      </c>
      <c r="E13">
        <v>0</v>
      </c>
      <c r="F13" t="s">
        <v>15</v>
      </c>
      <c r="H13" s="2">
        <v>3</v>
      </c>
      <c r="I13" s="3">
        <v>3</v>
      </c>
      <c r="J13">
        <v>0</v>
      </c>
    </row>
    <row r="14" spans="1:10" x14ac:dyDescent="0.25">
      <c r="A14" t="s">
        <v>6</v>
      </c>
      <c r="C14">
        <v>0</v>
      </c>
      <c r="D14" s="1">
        <v>4</v>
      </c>
      <c r="E14">
        <v>0</v>
      </c>
      <c r="F14" t="s">
        <v>1</v>
      </c>
      <c r="H14">
        <v>0</v>
      </c>
      <c r="I14" s="3">
        <v>4</v>
      </c>
      <c r="J14">
        <v>0</v>
      </c>
    </row>
    <row r="15" spans="1:10" x14ac:dyDescent="0.25">
      <c r="A15" t="s">
        <v>7</v>
      </c>
      <c r="C15">
        <v>0</v>
      </c>
      <c r="D15" s="1">
        <v>5</v>
      </c>
      <c r="E15">
        <v>0</v>
      </c>
      <c r="F15" t="s">
        <v>1</v>
      </c>
      <c r="H15">
        <v>0</v>
      </c>
      <c r="I15" s="3">
        <v>5</v>
      </c>
      <c r="J15">
        <v>0</v>
      </c>
    </row>
    <row r="16" spans="1:10" x14ac:dyDescent="0.25">
      <c r="A16" t="s">
        <v>8</v>
      </c>
      <c r="C16">
        <v>0</v>
      </c>
      <c r="D16" s="1">
        <v>6</v>
      </c>
      <c r="E16">
        <v>0</v>
      </c>
      <c r="F16" t="s">
        <v>1</v>
      </c>
      <c r="H16">
        <v>0</v>
      </c>
      <c r="I16" s="3">
        <v>6</v>
      </c>
      <c r="J16">
        <v>0</v>
      </c>
    </row>
    <row r="17" spans="1:10" x14ac:dyDescent="0.25">
      <c r="A17" t="s">
        <v>9</v>
      </c>
      <c r="C17">
        <v>0</v>
      </c>
      <c r="D17" s="1">
        <v>7</v>
      </c>
      <c r="E17">
        <v>0</v>
      </c>
      <c r="F17" t="s">
        <v>1</v>
      </c>
      <c r="H17">
        <v>0</v>
      </c>
      <c r="I17" s="3">
        <v>7</v>
      </c>
      <c r="J17">
        <v>0</v>
      </c>
    </row>
    <row r="18" spans="1:10" x14ac:dyDescent="0.25">
      <c r="A18" t="s">
        <v>10</v>
      </c>
      <c r="C18">
        <v>0</v>
      </c>
      <c r="D18" s="1">
        <v>8</v>
      </c>
      <c r="E18">
        <v>0</v>
      </c>
      <c r="F18" t="s">
        <v>2</v>
      </c>
      <c r="H18">
        <v>0</v>
      </c>
      <c r="I18" s="3">
        <v>8</v>
      </c>
      <c r="J18">
        <v>0</v>
      </c>
    </row>
    <row r="19" spans="1:10" x14ac:dyDescent="0.25">
      <c r="A19" t="s">
        <v>0</v>
      </c>
      <c r="C19">
        <v>0</v>
      </c>
      <c r="D19">
        <v>0</v>
      </c>
      <c r="E19">
        <v>0</v>
      </c>
      <c r="F19" t="s">
        <v>11</v>
      </c>
      <c r="H19">
        <v>0</v>
      </c>
      <c r="I19">
        <v>0</v>
      </c>
      <c r="J19">
        <v>0</v>
      </c>
    </row>
    <row r="20" spans="1:10" x14ac:dyDescent="0.25">
      <c r="A20" t="s">
        <v>1</v>
      </c>
      <c r="C20">
        <v>0</v>
      </c>
      <c r="D20">
        <v>0</v>
      </c>
      <c r="E20">
        <v>0</v>
      </c>
      <c r="F20" t="s">
        <v>1</v>
      </c>
      <c r="H20">
        <v>0</v>
      </c>
      <c r="I20">
        <v>0</v>
      </c>
      <c r="J20">
        <v>0</v>
      </c>
    </row>
    <row r="21" spans="1:10" x14ac:dyDescent="0.25">
      <c r="A21" t="s">
        <v>1</v>
      </c>
      <c r="C21">
        <v>0</v>
      </c>
      <c r="D21">
        <v>0</v>
      </c>
      <c r="E21">
        <v>0</v>
      </c>
      <c r="F21" t="s">
        <v>1</v>
      </c>
      <c r="H21">
        <v>0</v>
      </c>
      <c r="I21">
        <v>0</v>
      </c>
      <c r="J21">
        <v>0</v>
      </c>
    </row>
    <row r="22" spans="1:10" x14ac:dyDescent="0.25">
      <c r="A22" t="s">
        <v>1</v>
      </c>
      <c r="C22">
        <v>0</v>
      </c>
      <c r="D22">
        <v>0</v>
      </c>
      <c r="E22">
        <v>0</v>
      </c>
      <c r="F22" t="s">
        <v>1</v>
      </c>
      <c r="H22">
        <v>0</v>
      </c>
      <c r="I22">
        <v>0</v>
      </c>
      <c r="J22">
        <v>0</v>
      </c>
    </row>
    <row r="23" spans="1:10" x14ac:dyDescent="0.25">
      <c r="A23" t="s">
        <v>1</v>
      </c>
      <c r="C23">
        <v>0</v>
      </c>
      <c r="D23">
        <v>0</v>
      </c>
      <c r="E23">
        <v>0</v>
      </c>
      <c r="F23" t="s">
        <v>6</v>
      </c>
      <c r="H23">
        <v>0</v>
      </c>
      <c r="I23" s="2">
        <v>4</v>
      </c>
      <c r="J23">
        <v>0</v>
      </c>
    </row>
    <row r="24" spans="1:10" x14ac:dyDescent="0.25">
      <c r="A24" t="s">
        <v>1</v>
      </c>
      <c r="C24">
        <v>0</v>
      </c>
      <c r="D24">
        <v>0</v>
      </c>
      <c r="E24">
        <v>0</v>
      </c>
      <c r="F24" t="s">
        <v>1</v>
      </c>
      <c r="H24">
        <v>0</v>
      </c>
      <c r="I24">
        <v>0</v>
      </c>
      <c r="J24">
        <v>0</v>
      </c>
    </row>
    <row r="25" spans="1:10" x14ac:dyDescent="0.25">
      <c r="A25" t="s">
        <v>1</v>
      </c>
      <c r="C25">
        <v>0</v>
      </c>
      <c r="D25">
        <v>0</v>
      </c>
      <c r="E25">
        <v>0</v>
      </c>
      <c r="F25" t="s">
        <v>1</v>
      </c>
      <c r="H25">
        <v>0</v>
      </c>
      <c r="I25">
        <v>0</v>
      </c>
      <c r="J25">
        <v>0</v>
      </c>
    </row>
    <row r="26" spans="1:10" x14ac:dyDescent="0.25">
      <c r="A26" t="s">
        <v>1</v>
      </c>
      <c r="C26">
        <v>0</v>
      </c>
      <c r="D26">
        <v>0</v>
      </c>
      <c r="E26">
        <v>0</v>
      </c>
      <c r="F26" t="s">
        <v>16</v>
      </c>
      <c r="H26" s="2">
        <v>7</v>
      </c>
      <c r="I26">
        <v>0</v>
      </c>
      <c r="J26">
        <v>0</v>
      </c>
    </row>
    <row r="27" spans="1:10" x14ac:dyDescent="0.25">
      <c r="A27" t="s">
        <v>2</v>
      </c>
      <c r="C27">
        <v>0</v>
      </c>
      <c r="D27">
        <v>0</v>
      </c>
      <c r="E27">
        <v>0</v>
      </c>
      <c r="F27" t="s">
        <v>17</v>
      </c>
      <c r="H27">
        <v>0</v>
      </c>
      <c r="I27">
        <v>0</v>
      </c>
      <c r="J27" s="2">
        <v>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D2" sqref="D2:M11"/>
    </sheetView>
  </sheetViews>
  <sheetFormatPr baseColWidth="10" defaultRowHeight="15" x14ac:dyDescent="0.25"/>
  <sheetData>
    <row r="1" spans="1:14" x14ac:dyDescent="0.25">
      <c r="A1" t="s">
        <v>31</v>
      </c>
      <c r="B1" t="s">
        <v>30</v>
      </c>
    </row>
    <row r="2" spans="1:14" x14ac:dyDescent="0.25">
      <c r="B2">
        <v>0.44393968</v>
      </c>
      <c r="D2" s="8" t="s">
        <v>27</v>
      </c>
      <c r="J2">
        <v>0</v>
      </c>
      <c r="K2">
        <v>0</v>
      </c>
      <c r="L2" s="4">
        <f t="shared" ref="L2:L10" si="0">B2*J2</f>
        <v>0</v>
      </c>
      <c r="M2">
        <f t="shared" ref="M2:M10" si="1">B2*K2</f>
        <v>0</v>
      </c>
    </row>
    <row r="3" spans="1:14" x14ac:dyDescent="0.25">
      <c r="B3">
        <v>0.13526018000000001</v>
      </c>
      <c r="D3" s="7" t="s">
        <v>26</v>
      </c>
      <c r="J3">
        <v>1</v>
      </c>
      <c r="K3">
        <v>0</v>
      </c>
      <c r="L3" s="4">
        <f t="shared" si="0"/>
        <v>0.13526018000000001</v>
      </c>
      <c r="M3">
        <f t="shared" si="1"/>
        <v>0</v>
      </c>
    </row>
    <row r="4" spans="1:14" x14ac:dyDescent="0.25">
      <c r="B4">
        <v>0.11098492</v>
      </c>
      <c r="D4" s="7" t="s">
        <v>25</v>
      </c>
      <c r="J4">
        <v>0</v>
      </c>
      <c r="K4">
        <v>1</v>
      </c>
      <c r="L4" s="4">
        <f t="shared" si="0"/>
        <v>0</v>
      </c>
      <c r="M4">
        <f t="shared" si="1"/>
        <v>0.11098492</v>
      </c>
    </row>
    <row r="5" spans="1:14" x14ac:dyDescent="0.25">
      <c r="B5">
        <v>9.2554620000000004E-2</v>
      </c>
      <c r="D5" s="7" t="s">
        <v>24</v>
      </c>
      <c r="J5">
        <v>-1</v>
      </c>
      <c r="K5">
        <v>0</v>
      </c>
      <c r="L5" s="4">
        <f t="shared" si="0"/>
        <v>-9.2554620000000004E-2</v>
      </c>
      <c r="M5">
        <f t="shared" si="1"/>
        <v>0</v>
      </c>
    </row>
    <row r="6" spans="1:14" x14ac:dyDescent="0.25">
      <c r="B6">
        <v>0.11122169</v>
      </c>
      <c r="D6" s="7" t="s">
        <v>23</v>
      </c>
      <c r="J6">
        <v>0</v>
      </c>
      <c r="K6">
        <v>-1</v>
      </c>
      <c r="L6" s="4">
        <f t="shared" si="0"/>
        <v>0</v>
      </c>
      <c r="M6">
        <f t="shared" si="1"/>
        <v>-0.11122169</v>
      </c>
    </row>
    <row r="7" spans="1:14" x14ac:dyDescent="0.25">
      <c r="B7">
        <v>3.3815049999999999E-2</v>
      </c>
      <c r="D7" s="7" t="s">
        <v>22</v>
      </c>
      <c r="J7">
        <v>1</v>
      </c>
      <c r="K7">
        <v>1</v>
      </c>
      <c r="L7" s="4">
        <f t="shared" si="0"/>
        <v>3.3815049999999999E-2</v>
      </c>
      <c r="M7">
        <f t="shared" si="1"/>
        <v>3.3815049999999999E-2</v>
      </c>
    </row>
    <row r="8" spans="1:14" x14ac:dyDescent="0.25">
      <c r="B8">
        <v>2.3138659999999998E-2</v>
      </c>
      <c r="D8" s="7" t="s">
        <v>21</v>
      </c>
      <c r="J8">
        <v>-1</v>
      </c>
      <c r="K8">
        <v>1</v>
      </c>
      <c r="L8" s="4">
        <f t="shared" si="0"/>
        <v>-2.3138659999999998E-2</v>
      </c>
      <c r="M8">
        <f t="shared" si="1"/>
        <v>2.3138659999999998E-2</v>
      </c>
    </row>
    <row r="9" spans="1:14" x14ac:dyDescent="0.25">
      <c r="B9">
        <v>2.3137120000000001E-2</v>
      </c>
      <c r="D9" s="7" t="s">
        <v>20</v>
      </c>
      <c r="J9">
        <v>-1</v>
      </c>
      <c r="K9">
        <v>-1</v>
      </c>
      <c r="L9" s="4">
        <f t="shared" si="0"/>
        <v>-2.3137120000000001E-2</v>
      </c>
      <c r="M9">
        <f t="shared" si="1"/>
        <v>-2.3137120000000001E-2</v>
      </c>
    </row>
    <row r="10" spans="1:14" x14ac:dyDescent="0.25">
      <c r="B10">
        <v>3.321064E-2</v>
      </c>
      <c r="D10" s="7" t="s">
        <v>19</v>
      </c>
      <c r="J10">
        <v>1</v>
      </c>
      <c r="K10">
        <v>-1</v>
      </c>
      <c r="L10" s="6">
        <f t="shared" si="0"/>
        <v>3.321064E-2</v>
      </c>
      <c r="M10" s="5">
        <f t="shared" si="1"/>
        <v>-3.321064E-2</v>
      </c>
    </row>
    <row r="11" spans="1:14" x14ac:dyDescent="0.25">
      <c r="B11">
        <f>+SUM(B2:B10)</f>
        <v>1.00726256</v>
      </c>
      <c r="J11" t="s">
        <v>29</v>
      </c>
      <c r="L11" s="4">
        <f>SUM(L2:L10)</f>
        <v>6.345547E-2</v>
      </c>
      <c r="M11">
        <f>SUM(M2:M10)</f>
        <v>3.6917999999999673E-4</v>
      </c>
    </row>
    <row r="13" spans="1:14" x14ac:dyDescent="0.25">
      <c r="J13" t="s">
        <v>28</v>
      </c>
      <c r="L13" s="1" t="s">
        <v>18</v>
      </c>
      <c r="M13" s="1"/>
      <c r="N13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6"/>
  <sheetViews>
    <sheetView workbookViewId="0">
      <selection activeCell="M7" sqref="M7:M15"/>
    </sheetView>
  </sheetViews>
  <sheetFormatPr baseColWidth="10" defaultRowHeight="15" x14ac:dyDescent="0.25"/>
  <sheetData>
    <row r="3" spans="1:14" x14ac:dyDescent="0.25">
      <c r="F3" t="s">
        <v>33</v>
      </c>
      <c r="G3" s="9" t="s">
        <v>32</v>
      </c>
      <c r="H3" s="9"/>
    </row>
    <row r="4" spans="1:14" x14ac:dyDescent="0.25">
      <c r="A4" s="1" t="s">
        <v>34</v>
      </c>
      <c r="B4" s="1"/>
      <c r="C4" s="1"/>
      <c r="D4" s="1"/>
      <c r="E4" s="1"/>
      <c r="F4" t="s">
        <v>33</v>
      </c>
      <c r="G4" s="9">
        <v>1.649782E-2</v>
      </c>
      <c r="H4" s="9">
        <v>0</v>
      </c>
    </row>
    <row r="5" spans="1:14" x14ac:dyDescent="0.25">
      <c r="A5" s="1" t="s">
        <v>35</v>
      </c>
      <c r="B5" s="1"/>
      <c r="C5" s="1"/>
      <c r="D5" s="1"/>
      <c r="E5" s="1"/>
    </row>
    <row r="7" spans="1:14" x14ac:dyDescent="0.25">
      <c r="B7" s="9"/>
      <c r="C7" s="9"/>
      <c r="D7" s="9"/>
      <c r="E7" s="9"/>
      <c r="F7" s="8" t="s">
        <v>27</v>
      </c>
      <c r="K7">
        <v>0</v>
      </c>
      <c r="L7">
        <v>0</v>
      </c>
      <c r="M7" s="4">
        <f>$G$4*K7+L7*$H$4</f>
        <v>0</v>
      </c>
      <c r="N7" s="1">
        <v>0</v>
      </c>
    </row>
    <row r="8" spans="1:14" x14ac:dyDescent="0.25">
      <c r="F8" s="7" t="s">
        <v>26</v>
      </c>
      <c r="K8">
        <v>1</v>
      </c>
      <c r="L8">
        <v>0</v>
      </c>
      <c r="M8" s="4">
        <f t="shared" ref="M8:M15" si="0">$G$4*K8+L8*$H$4</f>
        <v>1.649782E-2</v>
      </c>
      <c r="N8" s="1">
        <v>1.649782E-2</v>
      </c>
    </row>
    <row r="9" spans="1:14" x14ac:dyDescent="0.25">
      <c r="F9" s="7" t="s">
        <v>25</v>
      </c>
      <c r="K9">
        <v>0</v>
      </c>
      <c r="L9">
        <v>1</v>
      </c>
      <c r="M9" s="4">
        <f t="shared" si="0"/>
        <v>0</v>
      </c>
      <c r="N9" s="1">
        <v>0</v>
      </c>
    </row>
    <row r="10" spans="1:14" x14ac:dyDescent="0.25">
      <c r="F10" s="7" t="s">
        <v>24</v>
      </c>
      <c r="K10">
        <v>-1</v>
      </c>
      <c r="L10">
        <v>0</v>
      </c>
      <c r="M10" s="4">
        <f t="shared" si="0"/>
        <v>-1.649782E-2</v>
      </c>
      <c r="N10" s="1">
        <v>-1.649782E-2</v>
      </c>
    </row>
    <row r="11" spans="1:14" x14ac:dyDescent="0.25">
      <c r="F11" s="7" t="s">
        <v>23</v>
      </c>
      <c r="K11">
        <v>0</v>
      </c>
      <c r="L11">
        <v>-1</v>
      </c>
      <c r="M11" s="4">
        <f t="shared" si="0"/>
        <v>0</v>
      </c>
      <c r="N11" s="1">
        <v>0</v>
      </c>
    </row>
    <row r="12" spans="1:14" x14ac:dyDescent="0.25">
      <c r="F12" s="7" t="s">
        <v>22</v>
      </c>
      <c r="K12">
        <v>1</v>
      </c>
      <c r="L12">
        <v>1</v>
      </c>
      <c r="M12" s="4">
        <f t="shared" si="0"/>
        <v>1.649782E-2</v>
      </c>
      <c r="N12" s="1">
        <v>1.649782E-2</v>
      </c>
    </row>
    <row r="13" spans="1:14" x14ac:dyDescent="0.25">
      <c r="F13" s="7" t="s">
        <v>21</v>
      </c>
      <c r="K13">
        <v>-1</v>
      </c>
      <c r="L13">
        <v>1</v>
      </c>
      <c r="M13" s="4">
        <f t="shared" si="0"/>
        <v>-1.649782E-2</v>
      </c>
      <c r="N13" s="1">
        <v>-1.649782E-2</v>
      </c>
    </row>
    <row r="14" spans="1:14" x14ac:dyDescent="0.25">
      <c r="F14" s="7" t="s">
        <v>20</v>
      </c>
      <c r="K14">
        <v>-1</v>
      </c>
      <c r="L14">
        <v>-1</v>
      </c>
      <c r="M14" s="4">
        <f t="shared" si="0"/>
        <v>-1.649782E-2</v>
      </c>
      <c r="N14" s="1">
        <v>-1.649782E-2</v>
      </c>
    </row>
    <row r="15" spans="1:14" x14ac:dyDescent="0.25">
      <c r="B15" s="9"/>
      <c r="C15" s="9"/>
      <c r="D15" s="9"/>
      <c r="E15" s="9"/>
      <c r="F15" s="7" t="s">
        <v>19</v>
      </c>
      <c r="K15" s="5">
        <v>1</v>
      </c>
      <c r="L15" s="5">
        <v>-1</v>
      </c>
      <c r="M15" s="4">
        <f t="shared" si="0"/>
        <v>1.649782E-2</v>
      </c>
      <c r="N15" s="1">
        <v>1.649782E-2</v>
      </c>
    </row>
    <row r="16" spans="1:14" x14ac:dyDescent="0.25">
      <c r="A16" s="9"/>
      <c r="B16" s="9"/>
      <c r="C16" s="9"/>
      <c r="D16" s="9"/>
      <c r="E16" s="9"/>
      <c r="K16" t="s">
        <v>29</v>
      </c>
      <c r="M16" s="4">
        <f>SUM(M7:M15)</f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workbookViewId="0">
      <selection activeCell="F8" sqref="F8"/>
    </sheetView>
  </sheetViews>
  <sheetFormatPr baseColWidth="10" defaultRowHeight="15" x14ac:dyDescent="0.25"/>
  <cols>
    <col min="4" max="4" width="18" bestFit="1" customWidth="1"/>
  </cols>
  <sheetData>
    <row r="3" spans="1:8" x14ac:dyDescent="0.25">
      <c r="A3" s="8" t="s">
        <v>37</v>
      </c>
      <c r="D3" s="1" t="s">
        <v>36</v>
      </c>
      <c r="E3" s="1">
        <v>2.7218000000000001E-4</v>
      </c>
    </row>
    <row r="5" spans="1:8" x14ac:dyDescent="0.25">
      <c r="D5" t="s">
        <v>33</v>
      </c>
      <c r="E5" s="9">
        <v>1.649782E-2</v>
      </c>
      <c r="F5" s="9">
        <v>0</v>
      </c>
    </row>
    <row r="6" spans="1:8" x14ac:dyDescent="0.25">
      <c r="G6" s="9">
        <v>1.649782E-2</v>
      </c>
      <c r="H6" s="9"/>
    </row>
    <row r="7" spans="1:8" x14ac:dyDescent="0.25">
      <c r="G7">
        <v>0</v>
      </c>
    </row>
    <row r="8" spans="1:8" x14ac:dyDescent="0.25">
      <c r="D8" t="s">
        <v>38</v>
      </c>
      <c r="F8">
        <f>E5*G6+F5*G7</f>
        <v>2.7217806475239998E-4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9"/>
  <sheetViews>
    <sheetView workbookViewId="0">
      <selection activeCell="J11" sqref="J11:J19"/>
    </sheetView>
  </sheetViews>
  <sheetFormatPr baseColWidth="10" defaultRowHeight="15" x14ac:dyDescent="0.25"/>
  <sheetData>
    <row r="3" spans="1:10" x14ac:dyDescent="0.25">
      <c r="A3" t="s">
        <v>39</v>
      </c>
    </row>
    <row r="4" spans="1:10" x14ac:dyDescent="0.25">
      <c r="A4" t="s">
        <v>40</v>
      </c>
    </row>
    <row r="6" spans="1:10" x14ac:dyDescent="0.25">
      <c r="A6" t="s">
        <v>41</v>
      </c>
    </row>
    <row r="8" spans="1:10" x14ac:dyDescent="0.25">
      <c r="A8" s="1" t="s">
        <v>42</v>
      </c>
      <c r="B8" s="1"/>
      <c r="C8" s="1"/>
      <c r="D8" s="1"/>
      <c r="E8" s="1"/>
    </row>
    <row r="9" spans="1:10" x14ac:dyDescent="0.25">
      <c r="A9" s="1" t="s">
        <v>43</v>
      </c>
      <c r="B9" s="1"/>
      <c r="C9" s="1"/>
      <c r="D9" s="1"/>
      <c r="E9" s="1"/>
    </row>
    <row r="10" spans="1:10" x14ac:dyDescent="0.25">
      <c r="J10">
        <v>0.99178971999999999</v>
      </c>
    </row>
    <row r="11" spans="1:10" x14ac:dyDescent="0.25">
      <c r="A11" s="1">
        <v>0.44079542999999999</v>
      </c>
      <c r="B11" s="9"/>
      <c r="C11" s="9"/>
      <c r="D11" s="9"/>
      <c r="E11" s="9"/>
      <c r="I11">
        <v>0.44444444</v>
      </c>
      <c r="J11">
        <f>$J$10*I11</f>
        <v>0.4407954267031568</v>
      </c>
    </row>
    <row r="12" spans="1:10" x14ac:dyDescent="0.25">
      <c r="A12" s="1">
        <v>0.11019886</v>
      </c>
      <c r="B12" s="9"/>
      <c r="C12" s="9"/>
      <c r="D12" s="9"/>
      <c r="E12" s="9"/>
      <c r="I12">
        <v>0.11111111</v>
      </c>
      <c r="J12">
        <f t="shared" ref="J12:J19" si="0">$J$10*I12</f>
        <v>0.1101988566757892</v>
      </c>
    </row>
    <row r="13" spans="1:10" x14ac:dyDescent="0.25">
      <c r="A13" s="1">
        <v>0.11019886</v>
      </c>
      <c r="I13">
        <v>0.11111111</v>
      </c>
      <c r="J13">
        <f t="shared" si="0"/>
        <v>0.1101988566757892</v>
      </c>
    </row>
    <row r="14" spans="1:10" x14ac:dyDescent="0.25">
      <c r="A14" s="1">
        <v>0.11019886</v>
      </c>
      <c r="I14">
        <v>0.11111111</v>
      </c>
      <c r="J14">
        <f t="shared" si="0"/>
        <v>0.1101988566757892</v>
      </c>
    </row>
    <row r="15" spans="1:10" x14ac:dyDescent="0.25">
      <c r="A15" s="1">
        <v>0.11019886</v>
      </c>
      <c r="I15">
        <v>0.11111111</v>
      </c>
      <c r="J15">
        <f t="shared" si="0"/>
        <v>0.1101988566757892</v>
      </c>
    </row>
    <row r="16" spans="1:10" x14ac:dyDescent="0.25">
      <c r="A16" s="1">
        <v>2.7549710000000002E-2</v>
      </c>
      <c r="I16">
        <v>2.7777779999999998E-2</v>
      </c>
      <c r="J16">
        <f t="shared" si="0"/>
        <v>2.75497166484216E-2</v>
      </c>
    </row>
    <row r="17" spans="1:10" x14ac:dyDescent="0.25">
      <c r="A17" s="1">
        <v>2.7549710000000002E-2</v>
      </c>
      <c r="I17">
        <v>2.7777779999999998E-2</v>
      </c>
      <c r="J17">
        <f t="shared" si="0"/>
        <v>2.75497166484216E-2</v>
      </c>
    </row>
    <row r="18" spans="1:10" x14ac:dyDescent="0.25">
      <c r="A18" s="1">
        <v>2.7549710000000002E-2</v>
      </c>
      <c r="I18">
        <v>2.7777779999999998E-2</v>
      </c>
      <c r="J18">
        <f t="shared" si="0"/>
        <v>2.75497166484216E-2</v>
      </c>
    </row>
    <row r="19" spans="1:10" x14ac:dyDescent="0.25">
      <c r="A19" s="1">
        <v>2.7549710000000002E-2</v>
      </c>
      <c r="I19">
        <v>2.7777779999999998E-2</v>
      </c>
      <c r="J19">
        <f t="shared" si="0"/>
        <v>2.75497166484216E-2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K19" sqref="K19"/>
    </sheetView>
  </sheetViews>
  <sheetFormatPr baseColWidth="10" defaultRowHeight="15" x14ac:dyDescent="0.25"/>
  <cols>
    <col min="6" max="6" width="24" bestFit="1" customWidth="1"/>
  </cols>
  <sheetData>
    <row r="1" spans="1:8" x14ac:dyDescent="0.25">
      <c r="A1" s="1" t="s">
        <v>44</v>
      </c>
    </row>
    <row r="2" spans="1:8" x14ac:dyDescent="0.25">
      <c r="A2" s="1" t="s">
        <v>45</v>
      </c>
    </row>
    <row r="4" spans="1:8" x14ac:dyDescent="0.25">
      <c r="D4" t="s">
        <v>46</v>
      </c>
    </row>
    <row r="5" spans="1:8" x14ac:dyDescent="0.25">
      <c r="D5" s="10" t="s">
        <v>49</v>
      </c>
    </row>
    <row r="6" spans="1:8" x14ac:dyDescent="0.25">
      <c r="C6" t="s">
        <v>51</v>
      </c>
      <c r="D6" t="s">
        <v>48</v>
      </c>
      <c r="E6" t="s">
        <v>47</v>
      </c>
      <c r="F6" t="s">
        <v>37</v>
      </c>
      <c r="G6" t="s">
        <v>52</v>
      </c>
    </row>
    <row r="7" spans="1:8" x14ac:dyDescent="0.25">
      <c r="C7">
        <v>0.4407954267031568</v>
      </c>
      <c r="D7">
        <v>1</v>
      </c>
      <c r="E7">
        <v>0</v>
      </c>
      <c r="F7">
        <v>2.7217806475239998E-4</v>
      </c>
      <c r="G7">
        <f>C7*(D7+3*E7/Cs^2+(9/12)*E7^2/Cs^4-(3/2)*F7/Cs^2)</f>
        <v>0.44025553989529381</v>
      </c>
      <c r="H7" s="1">
        <v>0.44025554</v>
      </c>
    </row>
    <row r="8" spans="1:8" x14ac:dyDescent="0.25">
      <c r="C8">
        <v>0.1101988566757892</v>
      </c>
      <c r="D8">
        <v>1</v>
      </c>
      <c r="E8">
        <v>1.649782E-2</v>
      </c>
      <c r="F8">
        <v>2.7217806475239998E-4</v>
      </c>
      <c r="G8">
        <f>C8*(D8+3*E8/Cs^2+(9/12)*E8^2/Cs^4-(3/2)*F8/Cs^2)</f>
        <v>0.12662871064155881</v>
      </c>
      <c r="H8" s="1">
        <v>0.127641</v>
      </c>
    </row>
    <row r="9" spans="1:8" x14ac:dyDescent="0.25">
      <c r="C9">
        <v>0.1101988566757892</v>
      </c>
      <c r="D9">
        <v>1</v>
      </c>
      <c r="E9">
        <v>0</v>
      </c>
      <c r="F9">
        <v>2.7217806475239998E-4</v>
      </c>
      <c r="G9">
        <f>C9*(D9+3*E9/Cs^2+(9/12)*E9^2/Cs^4-(3/2)*F9/Cs^2)</f>
        <v>0.11006388497382345</v>
      </c>
      <c r="H9" s="1">
        <v>0.11006389</v>
      </c>
    </row>
    <row r="10" spans="1:8" x14ac:dyDescent="0.25">
      <c r="C10">
        <v>0.1101988566757892</v>
      </c>
      <c r="D10">
        <v>1</v>
      </c>
      <c r="E10">
        <v>-1.649782E-2</v>
      </c>
      <c r="F10">
        <v>2.7217806475239998E-4</v>
      </c>
      <c r="G10">
        <f>C10*(D10+3*E10/Cs^2+(9/12)*E10^2/Cs^4-(3/2)*F10/Cs^2)</f>
        <v>9.3903974411985364E-2</v>
      </c>
      <c r="H10" s="1">
        <v>9.4916260000000002E-2</v>
      </c>
    </row>
    <row r="11" spans="1:8" x14ac:dyDescent="0.25">
      <c r="C11">
        <v>0.1101988566757892</v>
      </c>
      <c r="D11">
        <v>1</v>
      </c>
      <c r="E11">
        <v>0</v>
      </c>
      <c r="F11">
        <v>2.7217806475239998E-4</v>
      </c>
      <c r="G11">
        <f>C11*(D11+3*E11/Cs^2+(9/12)*E11^2/Cs^4-(3/2)*F11/Cs^2)</f>
        <v>0.11006388497382345</v>
      </c>
      <c r="H11" s="1">
        <v>0.11006389</v>
      </c>
    </row>
    <row r="12" spans="1:8" x14ac:dyDescent="0.25">
      <c r="C12">
        <v>2.75497166484216E-2</v>
      </c>
      <c r="D12">
        <v>1</v>
      </c>
      <c r="E12">
        <v>1.649782E-2</v>
      </c>
      <c r="F12">
        <v>2.7217806475239998E-4</v>
      </c>
      <c r="G12">
        <f>C12*(D12+3*E12/Cs^2+(9/12)*E12^2/Cs^4-(3/2)*F12/Cs^2)</f>
        <v>3.1657180509535719E-2</v>
      </c>
      <c r="H12" s="1">
        <v>3.1910250000000001E-2</v>
      </c>
    </row>
    <row r="13" spans="1:8" x14ac:dyDescent="0.25">
      <c r="C13">
        <v>2.75497166484216E-2</v>
      </c>
      <c r="D13">
        <v>1</v>
      </c>
      <c r="E13">
        <v>-1.649782E-2</v>
      </c>
      <c r="F13">
        <v>2.7217806475239998E-4</v>
      </c>
      <c r="G13">
        <f>C13*(D13+3*E13/Cs^2+(9/12)*E13^2/Cs^4-(3/2)*F13/Cs^2)</f>
        <v>2.3475995715835786E-2</v>
      </c>
      <c r="H13" s="1">
        <v>2.3729070000000001E-2</v>
      </c>
    </row>
    <row r="14" spans="1:8" x14ac:dyDescent="0.25">
      <c r="C14">
        <v>2.75497166484216E-2</v>
      </c>
      <c r="D14">
        <v>1</v>
      </c>
      <c r="E14">
        <v>-1.649782E-2</v>
      </c>
      <c r="F14">
        <v>2.7217806475239998E-4</v>
      </c>
      <c r="G14">
        <f>C14*(D14+3*E14/Cs^2+(9/12)*E14^2/Cs^4-(3/2)*F14/Cs^2)</f>
        <v>2.3475995715835786E-2</v>
      </c>
      <c r="H14" s="1">
        <v>2.3729070000000001E-2</v>
      </c>
    </row>
    <row r="15" spans="1:8" x14ac:dyDescent="0.25">
      <c r="C15">
        <v>2.75497166484216E-2</v>
      </c>
      <c r="D15">
        <v>1</v>
      </c>
      <c r="E15">
        <v>1.649782E-2</v>
      </c>
      <c r="F15">
        <v>2.7217806475239998E-4</v>
      </c>
      <c r="G15">
        <f>C15*(D15+3*E15/Cs^2+(9/12)*E15^2/Cs^4-(3/2)*F15/Cs^2)</f>
        <v>3.1657180509535719E-2</v>
      </c>
      <c r="H15" s="1">
        <v>3.1910250000000001E-2</v>
      </c>
    </row>
    <row r="17" spans="4:5" x14ac:dyDescent="0.25">
      <c r="D17" t="s">
        <v>50</v>
      </c>
      <c r="E17">
        <f>1/SQRT(3)</f>
        <v>0.57735026918962584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streaming verification</vt:lpstr>
      <vt:lpstr>current density verification</vt:lpstr>
      <vt:lpstr>fi-dot verification</vt:lpstr>
      <vt:lpstr>fi-product verification</vt:lpstr>
      <vt:lpstr>factor-verification</vt:lpstr>
      <vt:lpstr>fi-verification</vt:lpstr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Dirk</cp:lastModifiedBy>
  <dcterms:created xsi:type="dcterms:W3CDTF">2025-01-01T14:14:31Z</dcterms:created>
  <dcterms:modified xsi:type="dcterms:W3CDTF">2025-01-02T08:06:16Z</dcterms:modified>
</cp:coreProperties>
</file>