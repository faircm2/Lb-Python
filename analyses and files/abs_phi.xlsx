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rk\Neethling\iems\master\PythonLBCourse\"/>
    </mc:Choice>
  </mc:AlternateContent>
  <bookViews>
    <workbookView xWindow="0" yWindow="0" windowWidth="3795" windowHeight="2700" activeTab="1"/>
  </bookViews>
  <sheets>
    <sheet name="abs_phi" sheetId="1" r:id="rId1"/>
    <sheet name="w" sheetId="3" r:id="rId2"/>
    <sheet name="_fc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2" l="1"/>
  <c r="Q3" i="2"/>
  <c r="P4" i="2"/>
  <c r="Q4" i="2"/>
  <c r="P5" i="2"/>
  <c r="Q5" i="2"/>
  <c r="P6" i="2"/>
  <c r="Q6" i="2"/>
  <c r="P7" i="2"/>
  <c r="Q7" i="2"/>
  <c r="P8" i="2"/>
  <c r="Q8" i="2"/>
  <c r="P9" i="2"/>
  <c r="Q9" i="2"/>
  <c r="P10" i="2"/>
  <c r="Q10" i="2"/>
  <c r="P11" i="2"/>
  <c r="Q11" i="2"/>
  <c r="P12" i="2"/>
  <c r="Q12" i="2"/>
  <c r="P13" i="2"/>
  <c r="Q13" i="2"/>
  <c r="P14" i="2"/>
  <c r="Q14" i="2"/>
  <c r="P15" i="2"/>
  <c r="Q15" i="2"/>
  <c r="P16" i="2"/>
  <c r="Q16" i="2"/>
  <c r="P17" i="2"/>
  <c r="Q17" i="2"/>
  <c r="P18" i="2"/>
  <c r="Q18" i="2"/>
  <c r="P19" i="2"/>
  <c r="Q19" i="2"/>
  <c r="P20" i="2"/>
  <c r="Q20" i="2"/>
  <c r="P21" i="2"/>
  <c r="Q21" i="2"/>
  <c r="P22" i="2"/>
  <c r="Q22" i="2"/>
  <c r="P23" i="2"/>
  <c r="Q23" i="2"/>
  <c r="P24" i="2"/>
  <c r="Q24" i="2"/>
  <c r="P25" i="2"/>
  <c r="Q25" i="2"/>
  <c r="P26" i="2"/>
  <c r="Q26" i="2"/>
  <c r="P27" i="2"/>
  <c r="Q27" i="2"/>
  <c r="P28" i="2"/>
  <c r="Q28" i="2"/>
  <c r="P29" i="2"/>
  <c r="Q29" i="2"/>
  <c r="P30" i="2"/>
  <c r="Q30" i="2"/>
  <c r="P31" i="2"/>
  <c r="Q31" i="2"/>
  <c r="P32" i="2"/>
  <c r="Q32" i="2"/>
  <c r="P33" i="2"/>
  <c r="Q33" i="2"/>
  <c r="P34" i="2"/>
  <c r="Q34" i="2"/>
  <c r="P35" i="2"/>
  <c r="Q35" i="2"/>
  <c r="P36" i="2"/>
  <c r="Q36" i="2"/>
  <c r="P37" i="2"/>
  <c r="Q37" i="2"/>
  <c r="P38" i="2"/>
  <c r="Q38" i="2"/>
  <c r="P39" i="2"/>
  <c r="Q39" i="2"/>
  <c r="P40" i="2"/>
  <c r="Q40" i="2"/>
  <c r="P41" i="2"/>
  <c r="Q41" i="2"/>
  <c r="P42" i="2"/>
  <c r="Q42" i="2"/>
  <c r="P43" i="2"/>
  <c r="Q43" i="2"/>
  <c r="P44" i="2"/>
  <c r="Q44" i="2"/>
  <c r="P45" i="2"/>
  <c r="Q45" i="2"/>
  <c r="P46" i="2"/>
  <c r="Q46" i="2"/>
  <c r="P47" i="2"/>
  <c r="Q47" i="2"/>
  <c r="P48" i="2"/>
  <c r="Q48" i="2"/>
  <c r="P49" i="2"/>
  <c r="Q49" i="2"/>
  <c r="P50" i="2"/>
  <c r="Q50" i="2"/>
  <c r="P51" i="2"/>
  <c r="Q51" i="2"/>
  <c r="Q2" i="2"/>
  <c r="P2" i="2"/>
  <c r="L3" i="2"/>
  <c r="M3" i="2"/>
  <c r="L4" i="2"/>
  <c r="M4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L18" i="2"/>
  <c r="M18" i="2"/>
  <c r="L19" i="2"/>
  <c r="M19" i="2"/>
  <c r="L20" i="2"/>
  <c r="M20" i="2"/>
  <c r="L21" i="2"/>
  <c r="M21" i="2"/>
  <c r="L22" i="2"/>
  <c r="M22" i="2"/>
  <c r="L23" i="2"/>
  <c r="M23" i="2"/>
  <c r="L24" i="2"/>
  <c r="M24" i="2"/>
  <c r="L25" i="2"/>
  <c r="M25" i="2"/>
  <c r="L26" i="2"/>
  <c r="M26" i="2"/>
  <c r="L27" i="2"/>
  <c r="M27" i="2"/>
  <c r="L28" i="2"/>
  <c r="M28" i="2"/>
  <c r="L29" i="2"/>
  <c r="M29" i="2"/>
  <c r="L30" i="2"/>
  <c r="M30" i="2"/>
  <c r="L31" i="2"/>
  <c r="M31" i="2"/>
  <c r="L32" i="2"/>
  <c r="M32" i="2"/>
  <c r="L33" i="2"/>
  <c r="M33" i="2"/>
  <c r="L34" i="2"/>
  <c r="M34" i="2"/>
  <c r="L35" i="2"/>
  <c r="M35" i="2"/>
  <c r="L36" i="2"/>
  <c r="M36" i="2"/>
  <c r="L37" i="2"/>
  <c r="M37" i="2"/>
  <c r="L38" i="2"/>
  <c r="M38" i="2"/>
  <c r="L39" i="2"/>
  <c r="M39" i="2"/>
  <c r="L40" i="2"/>
  <c r="M40" i="2"/>
  <c r="L41" i="2"/>
  <c r="M41" i="2"/>
  <c r="L42" i="2"/>
  <c r="M42" i="2"/>
  <c r="L43" i="2"/>
  <c r="M43" i="2"/>
  <c r="L44" i="2"/>
  <c r="M44" i="2"/>
  <c r="L45" i="2"/>
  <c r="M45" i="2"/>
  <c r="L46" i="2"/>
  <c r="M46" i="2"/>
  <c r="L47" i="2"/>
  <c r="M47" i="2"/>
  <c r="L48" i="2"/>
  <c r="M48" i="2"/>
  <c r="L49" i="2"/>
  <c r="M49" i="2"/>
  <c r="L50" i="2"/>
  <c r="M50" i="2"/>
  <c r="L51" i="2"/>
  <c r="M51" i="2"/>
  <c r="M2" i="2"/>
  <c r="L2" i="2"/>
  <c r="H3" i="2"/>
  <c r="I3" i="2"/>
  <c r="H4" i="2"/>
  <c r="I4" i="2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H33" i="2"/>
  <c r="I33" i="2"/>
  <c r="H34" i="2"/>
  <c r="I34" i="2"/>
  <c r="H35" i="2"/>
  <c r="I35" i="2"/>
  <c r="H36" i="2"/>
  <c r="I36" i="2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I2" i="2"/>
  <c r="H2" i="2"/>
  <c r="D3" i="2"/>
  <c r="E3" i="2"/>
  <c r="D4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E2" i="2"/>
  <c r="D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2" i="2"/>
</calcChain>
</file>

<file path=xl/sharedStrings.xml><?xml version="1.0" encoding="utf-8"?>
<sst xmlns="http://schemas.openxmlformats.org/spreadsheetml/2006/main" count="223" uniqueCount="106">
  <si>
    <t>index</t>
  </si>
  <si>
    <t>LEFT WALL: abs_phi</t>
  </si>
  <si>
    <t>RIGHT WALL: abs_phi</t>
  </si>
  <si>
    <t>BOTTOM WALL: abs_phi</t>
  </si>
  <si>
    <t>TOP WALL: abs_phi</t>
  </si>
  <si>
    <t>-0,000000000450979710;0,0000000000795198907</t>
  </si>
  <si>
    <t>0;0</t>
  </si>
  <si>
    <t>-0,00000000000775953814;0,00000000000136821593</t>
  </si>
  <si>
    <t>-0,00000000114246851;0,000000000201448023</t>
  </si>
  <si>
    <t>-0,0000000428805958;0,00000000756100600</t>
  </si>
  <si>
    <t>-0,000000138270318;0,0000000243807878</t>
  </si>
  <si>
    <t>-0,000000244103318;0,0000000430420011</t>
  </si>
  <si>
    <t>-0,000000592827411;0,000000104531467</t>
  </si>
  <si>
    <t>-0,00000144297140;0,000000254434790</t>
  </si>
  <si>
    <t>-0,00000340974465;0,000000601229979</t>
  </si>
  <si>
    <t>-0,00000767452525;0,00000135322587</t>
  </si>
  <si>
    <t>-0,0000162473916;0,00000286485351</t>
  </si>
  <si>
    <t>-0,0000320950300;0,00000565921974</t>
  </si>
  <si>
    <t>-0,0000588458208;0,0000103761059</t>
  </si>
  <si>
    <t>-0,0000997584455;0,0000175901055</t>
  </si>
  <si>
    <t>-0,000155881568;0,0000274861262</t>
  </si>
  <si>
    <t>-0,000223925362;0,0000394840830</t>
  </si>
  <si>
    <t>-0,000295061033;0,0000520272210</t>
  </si>
  <si>
    <t>-0,000356016211;0,0000627752636</t>
  </si>
  <si>
    <t>-0,000392881442;0,0000692755985</t>
  </si>
  <si>
    <t>-0,000396284520;0,0000698756529</t>
  </si>
  <si>
    <t>-0,000365297379;0,0000644117838</t>
  </si>
  <si>
    <t>-0,000307837405;0,0000542800402</t>
  </si>
  <si>
    <t>-0,000237335758;0,0000418486976</t>
  </si>
  <si>
    <t>-0,000167607725;0,0000295537641</t>
  </si>
  <si>
    <t>-0,000108603256;0,0000191496842</t>
  </si>
  <si>
    <t>-0,0000647120289;0,0000114104767</t>
  </si>
  <si>
    <t>-0,0000355651220;0,00000627109058</t>
  </si>
  <si>
    <t>-0,0000181031177;0,00000319206808</t>
  </si>
  <si>
    <t>-0,00000858525523;0,00000151381213</t>
  </si>
  <si>
    <t>-0,00000382741632;0,000000674876764</t>
  </si>
  <si>
    <t>-0,00000162608314;0,000000286722330</t>
  </si>
  <si>
    <t>-0,000000671726893;0,000000118443575</t>
  </si>
  <si>
    <t>-0,000000277408485;0,0000000489146005</t>
  </si>
  <si>
    <t>-0,000000161708227;0,0000000285135235</t>
  </si>
  <si>
    <t>-0,0000000505436525;0,00000000891220964</t>
  </si>
  <si>
    <t>-0,000000000334597944;0,0000000000589986452</t>
  </si>
  <si>
    <t>-0,00000000000151058290;0,000000000000266356521</t>
  </si>
  <si>
    <t>-0,0000000000903022963;0,0000000000159227313</t>
  </si>
  <si>
    <t>-0,0000000174211715;0,00000000307182257</t>
  </si>
  <si>
    <t>val_left</t>
  </si>
  <si>
    <t>-0,0000000219224306;0,00000000386551600</t>
  </si>
  <si>
    <t>val_right</t>
  </si>
  <si>
    <t>0,0000000219224306;0,00000000386551600</t>
  </si>
  <si>
    <t>0,000000000450979710;0,0000000000795198907</t>
  </si>
  <si>
    <t>0,00000000000775953814;0,00000000000136821593</t>
  </si>
  <si>
    <t>0,00000000114246851;0,000000000201448023</t>
  </si>
  <si>
    <t>0,0000000428805958;0,00000000756100600</t>
  </si>
  <si>
    <t>0,000000138270318;0,0000000243807878</t>
  </si>
  <si>
    <t>0,000000244103318;0,0000000430420011</t>
  </si>
  <si>
    <t>0,000000592827411;0,000000104531467</t>
  </si>
  <si>
    <t>0,00000144297140;0,000000254434790</t>
  </si>
  <si>
    <t>0,00000340974465;0,000000601229979</t>
  </si>
  <si>
    <t>0,00000767452525;0,00000135322587</t>
  </si>
  <si>
    <t>0,0000162473916;0,00000286485351</t>
  </si>
  <si>
    <t>0,0000320950300;0,00000565921974</t>
  </si>
  <si>
    <t>0,0000588458208;0,0000103761059</t>
  </si>
  <si>
    <t>0,0000997584455;0,0000175901055</t>
  </si>
  <si>
    <t>0,000155881568;0,0000274861262</t>
  </si>
  <si>
    <t>0,000223925362;0,0000394840830</t>
  </si>
  <si>
    <t>0,000295061033;0,0000520272210</t>
  </si>
  <si>
    <t>0,000356016211;0,0000627752636</t>
  </si>
  <si>
    <t>0,000392881442;0,0000692755985</t>
  </si>
  <si>
    <t>0,000396284520;0,0000698756529</t>
  </si>
  <si>
    <t>0,000365297379;0,0000644117838</t>
  </si>
  <si>
    <t>0,000307837405;0,0000542800402</t>
  </si>
  <si>
    <t>0,000237335758;0,0000418486976</t>
  </si>
  <si>
    <t>0,000167607725;0,0000295537641</t>
  </si>
  <si>
    <t>0,000108603256;0,0000191496842</t>
  </si>
  <si>
    <t>0,0000647120289;0,0000114104767</t>
  </si>
  <si>
    <t>0,0000355651220;0,00000627109058</t>
  </si>
  <si>
    <t>0,0000181031177;0,00000319206808</t>
  </si>
  <si>
    <t>0,00000858525523;0,00000151381213</t>
  </si>
  <si>
    <t>0,00000382741632;0,000000674876764</t>
  </si>
  <si>
    <t>0,00000162608314;0,000000286722330</t>
  </si>
  <si>
    <t>0,000000671726893;0,000000118443575</t>
  </si>
  <si>
    <t>0,000000277408485;0,0000000489146005</t>
  </si>
  <si>
    <t>0,000000161708227;0,0000000285135235</t>
  </si>
  <si>
    <t>0,0000000505436525;0,00000000891220964</t>
  </si>
  <si>
    <t>0,000000000334597944;0,0000000000589986452</t>
  </si>
  <si>
    <t>0,00000000000151058290;0,000000000000266356521</t>
  </si>
  <si>
    <t>0,0000000000903022963;0,0000000000159227313</t>
  </si>
  <si>
    <t>0,0000000174211715;0,00000000307182257</t>
  </si>
  <si>
    <t>val_bottom</t>
  </si>
  <si>
    <t>0;0,0000000222606194</t>
  </si>
  <si>
    <t>0;0,000000000457936799</t>
  </si>
  <si>
    <t>val_top</t>
  </si>
  <si>
    <t>0;-0,0000000176899212</t>
  </si>
  <si>
    <t>0;-0,0000000000916953548</t>
  </si>
  <si>
    <t>val_left: x</t>
  </si>
  <si>
    <t>val_left: y</t>
  </si>
  <si>
    <t>val_right: x</t>
  </si>
  <si>
    <t>val_right: y</t>
  </si>
  <si>
    <t>val_bottom: x</t>
  </si>
  <si>
    <t>val_bottom: y</t>
  </si>
  <si>
    <t>val_top: x</t>
  </si>
  <si>
    <t>val_top: y</t>
  </si>
  <si>
    <t>LEFT WALL: w</t>
  </si>
  <si>
    <t>RIGHT WALL: w</t>
  </si>
  <si>
    <t>BOTTOM WALL: w</t>
  </si>
  <si>
    <t>TOP WALL: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</si>
</sst>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1"/>
      <color rgb="FFFF0000"/>
      <name val="Consolas"/>
      <family val="3"/>
    </font>
    <font>
      <sz val="10"/>
      <color rgb="FF00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0" borderId="1" xfId="0" applyBorder="1"/>
    <xf numFmtId="0" fontId="0" fillId="2" borderId="3" xfId="0" applyFill="1" applyBorder="1"/>
    <xf numFmtId="0" fontId="0" fillId="2" borderId="2" xfId="0" applyFill="1" applyBorder="1"/>
    <xf numFmtId="0" fontId="0" fillId="0" borderId="1" xfId="0" applyFill="1" applyBorder="1"/>
    <xf numFmtId="0" fontId="0" fillId="0" borderId="3" xfId="0" applyFill="1" applyBorder="1"/>
    <xf numFmtId="0" fontId="3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020084764048281"/>
          <c:y val="4.6332046332046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abs_phi!$B$1</c:f>
              <c:strCache>
                <c:ptCount val="1"/>
                <c:pt idx="0">
                  <c:v>LEFT WALL: abs_phi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abs_phi!$A$2:$A$51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abs_phi!$B$2:$B$51</c:f>
              <c:numCache>
                <c:formatCode>General</c:formatCode>
                <c:ptCount val="50"/>
                <c:pt idx="0">
                  <c:v>1.58728655538644E-4</c:v>
                </c:pt>
                <c:pt idx="1">
                  <c:v>3.2232488431458999E-6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5.5459085527128797E-8</c:v>
                </c:pt>
                <c:pt idx="8">
                  <c:v>8.1666404602006694E-6</c:v>
                </c:pt>
                <c:pt idx="9">
                  <c:v>3.00130953634925E-4</c:v>
                </c:pt>
                <c:pt idx="10">
                  <c:v>5.5662295582840199E-4</c:v>
                </c:pt>
                <c:pt idx="11">
                  <c:v>7.1008197320353403E-4</c:v>
                </c:pt>
                <c:pt idx="12">
                  <c:v>1.1775027206778401E-3</c:v>
                </c:pt>
                <c:pt idx="13">
                  <c:v>1.88880664679266E-3</c:v>
                </c:pt>
                <c:pt idx="14">
                  <c:v>2.91332946246141E-3</c:v>
                </c:pt>
                <c:pt idx="15">
                  <c:v>4.3219806690861099E-3</c:v>
                </c:pt>
                <c:pt idx="16">
                  <c:v>6.1687650223900999E-3</c:v>
                </c:pt>
                <c:pt idx="17">
                  <c:v>8.4736289674151397E-3</c:v>
                </c:pt>
                <c:pt idx="18">
                  <c:v>1.1204586101895101E-2</c:v>
                </c:pt>
                <c:pt idx="19">
                  <c:v>1.4262943326812201E-2</c:v>
                </c:pt>
                <c:pt idx="20">
                  <c:v>1.74768449284281E-2</c:v>
                </c:pt>
                <c:pt idx="21">
                  <c:v>2.0608739856346502E-2</c:v>
                </c:pt>
                <c:pt idx="22">
                  <c:v>2.3379983495165301E-2</c:v>
                </c:pt>
                <c:pt idx="23">
                  <c:v>2.5510428003122899E-2</c:v>
                </c:pt>
                <c:pt idx="24">
                  <c:v>2.6765035634594699E-2</c:v>
                </c:pt>
                <c:pt idx="25">
                  <c:v>2.6996397123695101E-2</c:v>
                </c:pt>
                <c:pt idx="26">
                  <c:v>2.6172713562070401E-2</c:v>
                </c:pt>
                <c:pt idx="27">
                  <c:v>2.4384442332674901E-2</c:v>
                </c:pt>
                <c:pt idx="28">
                  <c:v>2.1828007815197101E-2</c:v>
                </c:pt>
                <c:pt idx="29">
                  <c:v>1.8770490119774601E-2</c:v>
                </c:pt>
                <c:pt idx="30">
                  <c:v>1.5503758219898901E-2</c:v>
                </c:pt>
                <c:pt idx="31">
                  <c:v>1.2298792190280501E-2</c:v>
                </c:pt>
                <c:pt idx="32">
                  <c:v>9.3701068965104401E-3</c:v>
                </c:pt>
                <c:pt idx="33">
                  <c:v>6.8564987163722202E-3</c:v>
                </c:pt>
                <c:pt idx="34">
                  <c:v>4.8192111977285604E-3</c:v>
                </c:pt>
                <c:pt idx="35">
                  <c:v>3.2540015804018801E-3</c:v>
                </c:pt>
                <c:pt idx="36">
                  <c:v>2.1109825346499098E-3</c:v>
                </c:pt>
                <c:pt idx="37">
                  <c:v>1.3159191252397301E-3</c:v>
                </c:pt>
                <c:pt idx="38">
                  <c:v>7.8949963153512295E-4</c:v>
                </c:pt>
                <c:pt idx="39">
                  <c:v>6.2757613026075403E-4</c:v>
                </c:pt>
                <c:pt idx="40">
                  <c:v>3.3794371738432799E-4</c:v>
                </c:pt>
                <c:pt idx="41">
                  <c:v>2.2481316088479499E-6</c:v>
                </c:pt>
                <c:pt idx="42">
                  <c:v>1.01492388440903E-8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6.0671915122078503E-7</c:v>
                </c:pt>
                <c:pt idx="49">
                  <c:v>1.17273295481922E-4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84-4027-87FB-BD38A70A0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71007"/>
        <c:axId val="35267679"/>
      </c:scatterChart>
      <c:valAx>
        <c:axId val="3527100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67679"/>
        <c:crosses val="autoZero"/>
        <c:crossBetween val="midCat"/>
      </c:valAx>
      <c:valAx>
        <c:axId val="3526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71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020084764048281"/>
          <c:y val="4.6332046332046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abs_phi!$C$1</c:f>
              <c:strCache>
                <c:ptCount val="1"/>
                <c:pt idx="0">
                  <c:v>RIGHT WALL: abs_phi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abs_phi!$A$2:$A$51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abs_phi!$C$2:$C$51</c:f>
              <c:numCache>
                <c:formatCode>0.00E+00</c:formatCode>
                <c:ptCount val="50"/>
                <c:pt idx="0">
                  <c:v>1.58728656E-4</c:v>
                </c:pt>
                <c:pt idx="1">
                  <c:v>3.22324884E-6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5.54590855E-8</c:v>
                </c:pt>
                <c:pt idx="8">
                  <c:v>8.1666404600000005E-6</c:v>
                </c:pt>
                <c:pt idx="9">
                  <c:v>3.00130954E-4</c:v>
                </c:pt>
                <c:pt idx="10">
                  <c:v>5.5662295599999997E-4</c:v>
                </c:pt>
                <c:pt idx="11">
                  <c:v>7.1008197300000001E-4</c:v>
                </c:pt>
                <c:pt idx="12">
                  <c:v>1.1775027199999999E-3</c:v>
                </c:pt>
                <c:pt idx="13">
                  <c:v>1.88880665E-3</c:v>
                </c:pt>
                <c:pt idx="14">
                  <c:v>2.91332946E-3</c:v>
                </c:pt>
                <c:pt idx="15">
                  <c:v>4.3219806700000004E-3</c:v>
                </c:pt>
                <c:pt idx="16">
                  <c:v>6.1687650199999996E-3</c:v>
                </c:pt>
                <c:pt idx="17">
                  <c:v>8.4736289699999991E-3</c:v>
                </c:pt>
                <c:pt idx="18">
                  <c:v>1.12045861E-2</c:v>
                </c:pt>
                <c:pt idx="19">
                  <c:v>1.4262943300000001E-2</c:v>
                </c:pt>
                <c:pt idx="20">
                  <c:v>1.74768449E-2</c:v>
                </c:pt>
                <c:pt idx="21">
                  <c:v>2.0608739899999999E-2</c:v>
                </c:pt>
                <c:pt idx="22">
                  <c:v>2.33799835E-2</c:v>
                </c:pt>
                <c:pt idx="23">
                  <c:v>2.5510428000000002E-2</c:v>
                </c:pt>
                <c:pt idx="24">
                  <c:v>2.6765035600000001E-2</c:v>
                </c:pt>
                <c:pt idx="25">
                  <c:v>2.69963971E-2</c:v>
                </c:pt>
                <c:pt idx="26">
                  <c:v>2.6172713600000001E-2</c:v>
                </c:pt>
                <c:pt idx="27">
                  <c:v>2.43844423E-2</c:v>
                </c:pt>
                <c:pt idx="28">
                  <c:v>2.18280078E-2</c:v>
                </c:pt>
                <c:pt idx="29">
                  <c:v>1.8770490099999999E-2</c:v>
                </c:pt>
                <c:pt idx="30">
                  <c:v>1.55037582E-2</c:v>
                </c:pt>
                <c:pt idx="31">
                  <c:v>1.22987922E-2</c:v>
                </c:pt>
                <c:pt idx="32">
                  <c:v>9.3701068999999994E-3</c:v>
                </c:pt>
                <c:pt idx="33">
                  <c:v>6.8564987199999997E-3</c:v>
                </c:pt>
                <c:pt idx="34">
                  <c:v>4.8192112000000004E-3</c:v>
                </c:pt>
                <c:pt idx="35">
                  <c:v>3.2540015800000001E-3</c:v>
                </c:pt>
                <c:pt idx="36">
                  <c:v>2.11098253E-3</c:v>
                </c:pt>
                <c:pt idx="37">
                  <c:v>1.3159191299999999E-3</c:v>
                </c:pt>
                <c:pt idx="38">
                  <c:v>7.8949963200000001E-4</c:v>
                </c:pt>
                <c:pt idx="39">
                  <c:v>6.2757613000000005E-4</c:v>
                </c:pt>
                <c:pt idx="40">
                  <c:v>3.3794371700000001E-4</c:v>
                </c:pt>
                <c:pt idx="41">
                  <c:v>2.2481316099999998E-6</c:v>
                </c:pt>
                <c:pt idx="42">
                  <c:v>1.01492388E-8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6.0671915099999996E-7</c:v>
                </c:pt>
                <c:pt idx="49">
                  <c:v>1.17273295E-4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16-4410-AC03-8387B95B5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71007"/>
        <c:axId val="35267679"/>
      </c:scatterChart>
      <c:valAx>
        <c:axId val="3527100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67679"/>
        <c:crosses val="autoZero"/>
        <c:crossBetween val="midCat"/>
      </c:valAx>
      <c:valAx>
        <c:axId val="3526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71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020084764048281"/>
          <c:y val="4.6332046332046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abs_phi!$D$1</c:f>
              <c:strCache>
                <c:ptCount val="1"/>
                <c:pt idx="0">
                  <c:v>BOTTOM WALL: abs_phi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abs_phi!$A$2:$A$51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abs_phi!$D$2:$D$51</c:f>
              <c:numCache>
                <c:formatCode>General</c:formatCode>
                <c:ptCount val="50"/>
                <c:pt idx="0">
                  <c:v>1.58728656E-4</c:v>
                </c:pt>
                <c:pt idx="1">
                  <c:v>3.22324884E-6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3.22324884E-6</c:v>
                </c:pt>
                <c:pt idx="49">
                  <c:v>1.58728656E-4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CA-491B-98AA-C2E071E39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71007"/>
        <c:axId val="35267679"/>
      </c:scatterChart>
      <c:valAx>
        <c:axId val="3527100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67679"/>
        <c:crosses val="autoZero"/>
        <c:crossBetween val="midCat"/>
      </c:valAx>
      <c:valAx>
        <c:axId val="35267679"/>
        <c:scaling>
          <c:orientation val="minMax"/>
          <c:max val="3.0000000000000006E-2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71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020084764048281"/>
          <c:y val="4.6332046332046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abs_phi!$E$1</c:f>
              <c:strCache>
                <c:ptCount val="1"/>
                <c:pt idx="0">
                  <c:v>TOP WALL: abs_phi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abs_phi!$A$2:$A$51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abs_phi!$E$2:$E$51</c:f>
              <c:numCache>
                <c:formatCode>General</c:formatCode>
                <c:ptCount val="50"/>
                <c:pt idx="0">
                  <c:v>1.17273295E-4</c:v>
                </c:pt>
                <c:pt idx="1">
                  <c:v>6.0671915099999996E-7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6.0671915099999996E-7</c:v>
                </c:pt>
                <c:pt idx="49">
                  <c:v>1.17273295E-4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31-424B-847E-45FA7A27F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71007"/>
        <c:axId val="35267679"/>
      </c:scatterChart>
      <c:valAx>
        <c:axId val="3527100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67679"/>
        <c:crosses val="autoZero"/>
        <c:crossBetween val="midCat"/>
      </c:valAx>
      <c:valAx>
        <c:axId val="35267679"/>
        <c:scaling>
          <c:orientation val="minMax"/>
          <c:max val="3.0000000000000006E-2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71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w!$B$1</c:f>
              <c:strCache>
                <c:ptCount val="1"/>
                <c:pt idx="0">
                  <c:v>LEFT WALL: 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w!$B$2:$B$101</c:f>
              <c:numCache>
                <c:formatCode>General</c:formatCode>
                <c:ptCount val="100"/>
                <c:pt idx="0">
                  <c:v>1.4024E-4</c:v>
                </c:pt>
                <c:pt idx="1">
                  <c:v>1.4207E-4</c:v>
                </c:pt>
                <c:pt idx="2">
                  <c:v>1.4207E-4</c:v>
                </c:pt>
                <c:pt idx="3">
                  <c:v>1.4207E-4</c:v>
                </c:pt>
                <c:pt idx="4">
                  <c:v>1.4207E-4</c:v>
                </c:pt>
                <c:pt idx="5">
                  <c:v>1.4207E-4</c:v>
                </c:pt>
                <c:pt idx="6">
                  <c:v>1.4207E-4</c:v>
                </c:pt>
                <c:pt idx="7">
                  <c:v>1.4207E-4</c:v>
                </c:pt>
                <c:pt idx="8">
                  <c:v>1.4205000000000001E-4</c:v>
                </c:pt>
                <c:pt idx="9">
                  <c:v>1.4507999999999999E-4</c:v>
                </c:pt>
                <c:pt idx="10">
                  <c:v>2.5223999999999998E-4</c:v>
                </c:pt>
                <c:pt idx="11">
                  <c:v>3.4906999999999999E-4</c:v>
                </c:pt>
                <c:pt idx="12">
                  <c:v>5.1123E-4</c:v>
                </c:pt>
                <c:pt idx="13">
                  <c:v>7.7574000000000002E-4</c:v>
                </c:pt>
                <c:pt idx="14">
                  <c:v>1.18845E-3</c:v>
                </c:pt>
                <c:pt idx="15">
                  <c:v>1.80309E-3</c:v>
                </c:pt>
                <c:pt idx="16">
                  <c:v>2.6744500000000001E-3</c:v>
                </c:pt>
                <c:pt idx="17">
                  <c:v>3.84607E-3</c:v>
                </c:pt>
                <c:pt idx="18">
                  <c:v>5.3329600000000003E-3</c:v>
                </c:pt>
                <c:pt idx="19">
                  <c:v>7.1021399999999998E-3</c:v>
                </c:pt>
                <c:pt idx="20">
                  <c:v>9.0569099999999996E-3</c:v>
                </c:pt>
                <c:pt idx="21">
                  <c:v>1.103317E-2</c:v>
                </c:pt>
                <c:pt idx="22">
                  <c:v>1.281493E-2</c:v>
                </c:pt>
                <c:pt idx="23">
                  <c:v>1.4171E-2</c:v>
                </c:pt>
                <c:pt idx="24">
                  <c:v>1.490535E-2</c:v>
                </c:pt>
                <c:pt idx="25">
                  <c:v>1.490561E-2</c:v>
                </c:pt>
                <c:pt idx="26">
                  <c:v>1.4172499999999999E-2</c:v>
                </c:pt>
                <c:pt idx="27">
                  <c:v>1.281909E-2</c:v>
                </c:pt>
                <c:pt idx="28">
                  <c:v>1.104073E-2</c:v>
                </c:pt>
                <c:pt idx="29">
                  <c:v>9.06707E-3</c:v>
                </c:pt>
                <c:pt idx="30">
                  <c:v>7.1130300000000002E-3</c:v>
                </c:pt>
                <c:pt idx="31">
                  <c:v>5.3428299999999998E-3</c:v>
                </c:pt>
                <c:pt idx="32">
                  <c:v>3.8541500000000002E-3</c:v>
                </c:pt>
                <c:pt idx="33">
                  <c:v>2.6810200000000001E-3</c:v>
                </c:pt>
                <c:pt idx="34">
                  <c:v>1.8089499999999999E-3</c:v>
                </c:pt>
                <c:pt idx="35">
                  <c:v>1.19436E-3</c:v>
                </c:pt>
                <c:pt idx="36">
                  <c:v>7.8218000000000005E-4</c:v>
                </c:pt>
                <c:pt idx="37">
                  <c:v>5.1833999999999995E-4</c:v>
                </c:pt>
                <c:pt idx="38">
                  <c:v>3.5679E-4</c:v>
                </c:pt>
                <c:pt idx="39">
                  <c:v>2.6164999999999999E-4</c:v>
                </c:pt>
                <c:pt idx="40">
                  <c:v>1.5186999999999999E-4</c:v>
                </c:pt>
                <c:pt idx="41">
                  <c:v>1.5113E-4</c:v>
                </c:pt>
                <c:pt idx="42">
                  <c:v>1.5113E-4</c:v>
                </c:pt>
                <c:pt idx="43">
                  <c:v>1.5113E-4</c:v>
                </c:pt>
                <c:pt idx="44">
                  <c:v>1.5113E-4</c:v>
                </c:pt>
                <c:pt idx="45">
                  <c:v>1.5113E-4</c:v>
                </c:pt>
                <c:pt idx="46">
                  <c:v>1.5113E-4</c:v>
                </c:pt>
                <c:pt idx="47">
                  <c:v>1.5113E-4</c:v>
                </c:pt>
                <c:pt idx="48">
                  <c:v>1.5113E-4</c:v>
                </c:pt>
                <c:pt idx="49">
                  <c:v>1.5084000000000001E-4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22-4FDA-8EFF-1678C8728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236128"/>
        <c:axId val="705234464"/>
      </c:scatterChart>
      <c:valAx>
        <c:axId val="70523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234464"/>
        <c:crosses val="autoZero"/>
        <c:crossBetween val="midCat"/>
      </c:valAx>
      <c:valAx>
        <c:axId val="70523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23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w!$C$1</c:f>
              <c:strCache>
                <c:ptCount val="1"/>
                <c:pt idx="0">
                  <c:v>RIGHT WALL: 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w!$C$2:$C$101</c:f>
              <c:numCache>
                <c:formatCode>General</c:formatCode>
                <c:ptCount val="100"/>
                <c:pt idx="0">
                  <c:v>1.4024E-4</c:v>
                </c:pt>
                <c:pt idx="1">
                  <c:v>1.4207E-4</c:v>
                </c:pt>
                <c:pt idx="2">
                  <c:v>1.4207E-4</c:v>
                </c:pt>
                <c:pt idx="3">
                  <c:v>1.4207E-4</c:v>
                </c:pt>
                <c:pt idx="4">
                  <c:v>1.4207E-4</c:v>
                </c:pt>
                <c:pt idx="5">
                  <c:v>1.4207E-4</c:v>
                </c:pt>
                <c:pt idx="6">
                  <c:v>1.4207E-4</c:v>
                </c:pt>
                <c:pt idx="7">
                  <c:v>1.4207E-4</c:v>
                </c:pt>
                <c:pt idx="8">
                  <c:v>1.4205000000000001E-4</c:v>
                </c:pt>
                <c:pt idx="9">
                  <c:v>1.4507999999999999E-4</c:v>
                </c:pt>
                <c:pt idx="10">
                  <c:v>2.5223999999999998E-4</c:v>
                </c:pt>
                <c:pt idx="11">
                  <c:v>3.4906999999999999E-4</c:v>
                </c:pt>
                <c:pt idx="12">
                  <c:v>5.1123E-4</c:v>
                </c:pt>
                <c:pt idx="13">
                  <c:v>7.7574000000000002E-4</c:v>
                </c:pt>
                <c:pt idx="14">
                  <c:v>1.18845E-3</c:v>
                </c:pt>
                <c:pt idx="15">
                  <c:v>1.80309E-3</c:v>
                </c:pt>
                <c:pt idx="16">
                  <c:v>2.6744500000000001E-3</c:v>
                </c:pt>
                <c:pt idx="17">
                  <c:v>3.84607E-3</c:v>
                </c:pt>
                <c:pt idx="18">
                  <c:v>5.3329600000000003E-3</c:v>
                </c:pt>
                <c:pt idx="19">
                  <c:v>7.1021399999999998E-3</c:v>
                </c:pt>
                <c:pt idx="20">
                  <c:v>9.0569099999999996E-3</c:v>
                </c:pt>
                <c:pt idx="21">
                  <c:v>1.103317E-2</c:v>
                </c:pt>
                <c:pt idx="22">
                  <c:v>1.281493E-2</c:v>
                </c:pt>
                <c:pt idx="23">
                  <c:v>1.4171E-2</c:v>
                </c:pt>
                <c:pt idx="24">
                  <c:v>1.490535E-2</c:v>
                </c:pt>
                <c:pt idx="25">
                  <c:v>1.490561E-2</c:v>
                </c:pt>
                <c:pt idx="26">
                  <c:v>1.4172499999999999E-2</c:v>
                </c:pt>
                <c:pt idx="27">
                  <c:v>1.281909E-2</c:v>
                </c:pt>
                <c:pt idx="28">
                  <c:v>1.104073E-2</c:v>
                </c:pt>
                <c:pt idx="29">
                  <c:v>9.06707E-3</c:v>
                </c:pt>
                <c:pt idx="30">
                  <c:v>7.1130300000000002E-3</c:v>
                </c:pt>
                <c:pt idx="31">
                  <c:v>5.3428299999999998E-3</c:v>
                </c:pt>
                <c:pt idx="32">
                  <c:v>3.8541500000000002E-3</c:v>
                </c:pt>
                <c:pt idx="33">
                  <c:v>2.6810200000000001E-3</c:v>
                </c:pt>
                <c:pt idx="34">
                  <c:v>1.8089499999999999E-3</c:v>
                </c:pt>
                <c:pt idx="35">
                  <c:v>1.19436E-3</c:v>
                </c:pt>
                <c:pt idx="36">
                  <c:v>7.8218000000000005E-4</c:v>
                </c:pt>
                <c:pt idx="37">
                  <c:v>5.1833999999999995E-4</c:v>
                </c:pt>
                <c:pt idx="38">
                  <c:v>3.5679E-4</c:v>
                </c:pt>
                <c:pt idx="39">
                  <c:v>2.6164999999999999E-4</c:v>
                </c:pt>
                <c:pt idx="40">
                  <c:v>1.5186999999999999E-4</c:v>
                </c:pt>
                <c:pt idx="41">
                  <c:v>1.5113E-4</c:v>
                </c:pt>
                <c:pt idx="42">
                  <c:v>1.5113E-4</c:v>
                </c:pt>
                <c:pt idx="43">
                  <c:v>1.5113E-4</c:v>
                </c:pt>
                <c:pt idx="44">
                  <c:v>1.5113E-4</c:v>
                </c:pt>
                <c:pt idx="45">
                  <c:v>1.5113E-4</c:v>
                </c:pt>
                <c:pt idx="46">
                  <c:v>1.5113E-4</c:v>
                </c:pt>
                <c:pt idx="47">
                  <c:v>1.5113E-4</c:v>
                </c:pt>
                <c:pt idx="48">
                  <c:v>1.5113E-4</c:v>
                </c:pt>
                <c:pt idx="49">
                  <c:v>1.5084000000000001E-4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C0-4A08-A6B3-98745F0C6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403695"/>
        <c:axId val="1390404943"/>
      </c:scatterChart>
      <c:valAx>
        <c:axId val="139040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404943"/>
        <c:crosses val="autoZero"/>
        <c:crossBetween val="midCat"/>
      </c:valAx>
      <c:valAx>
        <c:axId val="139040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40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w!$D$1</c:f>
              <c:strCache>
                <c:ptCount val="1"/>
                <c:pt idx="0">
                  <c:v>BOTTOM WALL: 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w!$D$2:$D$101</c:f>
              <c:numCache>
                <c:formatCode>General</c:formatCode>
                <c:ptCount val="100"/>
                <c:pt idx="0">
                  <c:v>1.4024E-4</c:v>
                </c:pt>
                <c:pt idx="1">
                  <c:v>1.4207E-4</c:v>
                </c:pt>
                <c:pt idx="2">
                  <c:v>1.4207E-4</c:v>
                </c:pt>
                <c:pt idx="3">
                  <c:v>1.4207E-4</c:v>
                </c:pt>
                <c:pt idx="4">
                  <c:v>1.4207E-4</c:v>
                </c:pt>
                <c:pt idx="5">
                  <c:v>1.4207E-4</c:v>
                </c:pt>
                <c:pt idx="6">
                  <c:v>1.4207E-4</c:v>
                </c:pt>
                <c:pt idx="7">
                  <c:v>1.4207E-4</c:v>
                </c:pt>
                <c:pt idx="8">
                  <c:v>1.4207E-4</c:v>
                </c:pt>
                <c:pt idx="9">
                  <c:v>1.4207E-4</c:v>
                </c:pt>
                <c:pt idx="10">
                  <c:v>1.4207E-4</c:v>
                </c:pt>
                <c:pt idx="11">
                  <c:v>1.4207E-4</c:v>
                </c:pt>
                <c:pt idx="12">
                  <c:v>1.4207E-4</c:v>
                </c:pt>
                <c:pt idx="13">
                  <c:v>1.4207E-4</c:v>
                </c:pt>
                <c:pt idx="14">
                  <c:v>1.4207E-4</c:v>
                </c:pt>
                <c:pt idx="15">
                  <c:v>1.4207E-4</c:v>
                </c:pt>
                <c:pt idx="16">
                  <c:v>1.4207E-4</c:v>
                </c:pt>
                <c:pt idx="17">
                  <c:v>1.4207E-4</c:v>
                </c:pt>
                <c:pt idx="18">
                  <c:v>1.4207E-4</c:v>
                </c:pt>
                <c:pt idx="19">
                  <c:v>1.4207E-4</c:v>
                </c:pt>
                <c:pt idx="20">
                  <c:v>1.4207E-4</c:v>
                </c:pt>
                <c:pt idx="21">
                  <c:v>1.4207E-4</c:v>
                </c:pt>
                <c:pt idx="22">
                  <c:v>1.4207E-4</c:v>
                </c:pt>
                <c:pt idx="23">
                  <c:v>1.4207E-4</c:v>
                </c:pt>
                <c:pt idx="24">
                  <c:v>1.4207E-4</c:v>
                </c:pt>
                <c:pt idx="25">
                  <c:v>1.4207E-4</c:v>
                </c:pt>
                <c:pt idx="26">
                  <c:v>1.4207E-4</c:v>
                </c:pt>
                <c:pt idx="27">
                  <c:v>1.4207E-4</c:v>
                </c:pt>
                <c:pt idx="28">
                  <c:v>1.4207E-4</c:v>
                </c:pt>
                <c:pt idx="29">
                  <c:v>1.4207E-4</c:v>
                </c:pt>
                <c:pt idx="30">
                  <c:v>1.4207E-4</c:v>
                </c:pt>
                <c:pt idx="31">
                  <c:v>1.4207E-4</c:v>
                </c:pt>
                <c:pt idx="32">
                  <c:v>1.4207E-4</c:v>
                </c:pt>
                <c:pt idx="33">
                  <c:v>1.4207E-4</c:v>
                </c:pt>
                <c:pt idx="34">
                  <c:v>1.4207E-4</c:v>
                </c:pt>
                <c:pt idx="35">
                  <c:v>1.4207E-4</c:v>
                </c:pt>
                <c:pt idx="36">
                  <c:v>1.4207E-4</c:v>
                </c:pt>
                <c:pt idx="37">
                  <c:v>1.4207E-4</c:v>
                </c:pt>
                <c:pt idx="38">
                  <c:v>1.4207E-4</c:v>
                </c:pt>
                <c:pt idx="39">
                  <c:v>1.4207E-4</c:v>
                </c:pt>
                <c:pt idx="40">
                  <c:v>1.4207E-4</c:v>
                </c:pt>
                <c:pt idx="41">
                  <c:v>1.4207E-4</c:v>
                </c:pt>
                <c:pt idx="42">
                  <c:v>1.4207E-4</c:v>
                </c:pt>
                <c:pt idx="43">
                  <c:v>1.4207E-4</c:v>
                </c:pt>
                <c:pt idx="44">
                  <c:v>1.4207E-4</c:v>
                </c:pt>
                <c:pt idx="45">
                  <c:v>1.4207E-4</c:v>
                </c:pt>
                <c:pt idx="46">
                  <c:v>1.4207E-4</c:v>
                </c:pt>
                <c:pt idx="47">
                  <c:v>1.4207E-4</c:v>
                </c:pt>
                <c:pt idx="48">
                  <c:v>1.4207E-4</c:v>
                </c:pt>
                <c:pt idx="49">
                  <c:v>1.4024E-4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94-474A-9C9C-89D4B5E0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169840"/>
        <c:axId val="958172336"/>
      </c:scatterChart>
      <c:valAx>
        <c:axId val="95816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172336"/>
        <c:crosses val="autoZero"/>
        <c:crossBetween val="midCat"/>
      </c:valAx>
      <c:valAx>
        <c:axId val="95817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169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w!$E$1</c:f>
              <c:strCache>
                <c:ptCount val="1"/>
                <c:pt idx="0">
                  <c:v>TOP WALL: 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w!$E$2:$E$101</c:f>
              <c:numCache>
                <c:formatCode>General</c:formatCode>
                <c:ptCount val="100"/>
                <c:pt idx="0">
                  <c:v>1.5084000000000001E-4</c:v>
                </c:pt>
                <c:pt idx="1">
                  <c:v>1.5113E-4</c:v>
                </c:pt>
                <c:pt idx="2">
                  <c:v>1.5113E-4</c:v>
                </c:pt>
                <c:pt idx="3">
                  <c:v>1.5113E-4</c:v>
                </c:pt>
                <c:pt idx="4">
                  <c:v>1.5113E-4</c:v>
                </c:pt>
                <c:pt idx="5">
                  <c:v>1.5113E-4</c:v>
                </c:pt>
                <c:pt idx="6">
                  <c:v>1.5113E-4</c:v>
                </c:pt>
                <c:pt idx="7">
                  <c:v>1.5113E-4</c:v>
                </c:pt>
                <c:pt idx="8">
                  <c:v>1.5113E-4</c:v>
                </c:pt>
                <c:pt idx="9">
                  <c:v>1.5113E-4</c:v>
                </c:pt>
                <c:pt idx="10">
                  <c:v>1.5113E-4</c:v>
                </c:pt>
                <c:pt idx="11">
                  <c:v>1.5113E-4</c:v>
                </c:pt>
                <c:pt idx="12">
                  <c:v>1.5113E-4</c:v>
                </c:pt>
                <c:pt idx="13">
                  <c:v>1.5113E-4</c:v>
                </c:pt>
                <c:pt idx="14">
                  <c:v>1.5113E-4</c:v>
                </c:pt>
                <c:pt idx="15">
                  <c:v>1.5113E-4</c:v>
                </c:pt>
                <c:pt idx="16">
                  <c:v>1.5113E-4</c:v>
                </c:pt>
                <c:pt idx="17">
                  <c:v>1.5113E-4</c:v>
                </c:pt>
                <c:pt idx="18">
                  <c:v>1.5113E-4</c:v>
                </c:pt>
                <c:pt idx="19">
                  <c:v>1.5113E-4</c:v>
                </c:pt>
                <c:pt idx="20">
                  <c:v>1.5113E-4</c:v>
                </c:pt>
                <c:pt idx="21">
                  <c:v>1.5113E-4</c:v>
                </c:pt>
                <c:pt idx="22">
                  <c:v>1.5113E-4</c:v>
                </c:pt>
                <c:pt idx="23">
                  <c:v>1.5113E-4</c:v>
                </c:pt>
                <c:pt idx="24">
                  <c:v>1.5113E-4</c:v>
                </c:pt>
                <c:pt idx="25">
                  <c:v>1.5113E-4</c:v>
                </c:pt>
                <c:pt idx="26">
                  <c:v>1.5113E-4</c:v>
                </c:pt>
                <c:pt idx="27">
                  <c:v>1.5113E-4</c:v>
                </c:pt>
                <c:pt idx="28">
                  <c:v>1.5113E-4</c:v>
                </c:pt>
                <c:pt idx="29">
                  <c:v>1.5113E-4</c:v>
                </c:pt>
                <c:pt idx="30">
                  <c:v>1.5113E-4</c:v>
                </c:pt>
                <c:pt idx="31">
                  <c:v>1.5113E-4</c:v>
                </c:pt>
                <c:pt idx="32">
                  <c:v>1.5113E-4</c:v>
                </c:pt>
                <c:pt idx="33">
                  <c:v>1.5113E-4</c:v>
                </c:pt>
                <c:pt idx="34">
                  <c:v>1.5113E-4</c:v>
                </c:pt>
                <c:pt idx="35">
                  <c:v>1.5113E-4</c:v>
                </c:pt>
                <c:pt idx="36">
                  <c:v>1.5113E-4</c:v>
                </c:pt>
                <c:pt idx="37">
                  <c:v>1.5113E-4</c:v>
                </c:pt>
                <c:pt idx="38">
                  <c:v>1.5113E-4</c:v>
                </c:pt>
                <c:pt idx="39">
                  <c:v>1.5113E-4</c:v>
                </c:pt>
                <c:pt idx="40">
                  <c:v>1.5113E-4</c:v>
                </c:pt>
                <c:pt idx="41">
                  <c:v>1.5113E-4</c:v>
                </c:pt>
                <c:pt idx="42">
                  <c:v>1.5113E-4</c:v>
                </c:pt>
                <c:pt idx="43">
                  <c:v>1.5113E-4</c:v>
                </c:pt>
                <c:pt idx="44">
                  <c:v>1.5113E-4</c:v>
                </c:pt>
                <c:pt idx="45">
                  <c:v>1.5113E-4</c:v>
                </c:pt>
                <c:pt idx="46">
                  <c:v>1.5113E-4</c:v>
                </c:pt>
                <c:pt idx="47">
                  <c:v>1.5113E-4</c:v>
                </c:pt>
                <c:pt idx="48">
                  <c:v>1.5113E-4</c:v>
                </c:pt>
                <c:pt idx="49">
                  <c:v>1.5084000000000001E-4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A1-4621-B633-95DEBA92E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221488"/>
        <c:axId val="969221904"/>
      </c:scatterChart>
      <c:valAx>
        <c:axId val="96922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221904"/>
        <c:crosses val="autoZero"/>
        <c:crossBetween val="midCat"/>
      </c:valAx>
      <c:valAx>
        <c:axId val="96922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22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val_left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_fc!$D$1</c:f>
              <c:strCache>
                <c:ptCount val="1"/>
                <c:pt idx="0">
                  <c:v>val_left: 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_fc!$A$2:$A$51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_fc!$D$2:$D$51</c:f>
              <c:numCache>
                <c:formatCode>General</c:formatCode>
                <c:ptCount val="50"/>
                <c:pt idx="0">
                  <c:v>-2.1922430600000001E-8</c:v>
                </c:pt>
                <c:pt idx="1">
                  <c:v>-4.5097970999999998E-10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-7.7595381399999995E-12</c:v>
                </c:pt>
                <c:pt idx="8">
                  <c:v>-1.1424685100000001E-9</c:v>
                </c:pt>
                <c:pt idx="9">
                  <c:v>-4.2880595799999999E-8</c:v>
                </c:pt>
                <c:pt idx="10">
                  <c:v>-1.38270318E-7</c:v>
                </c:pt>
                <c:pt idx="11">
                  <c:v>-2.4410331799999999E-7</c:v>
                </c:pt>
                <c:pt idx="12">
                  <c:v>-5.9282741099999997E-7</c:v>
                </c:pt>
                <c:pt idx="13">
                  <c:v>-1.4429714E-6</c:v>
                </c:pt>
                <c:pt idx="14">
                  <c:v>-3.4097446500000001E-6</c:v>
                </c:pt>
                <c:pt idx="15">
                  <c:v>-7.6745252499999999E-6</c:v>
                </c:pt>
                <c:pt idx="16">
                  <c:v>-1.6247391600000001E-5</c:v>
                </c:pt>
                <c:pt idx="17">
                  <c:v>-3.2095029999999999E-5</c:v>
                </c:pt>
                <c:pt idx="18">
                  <c:v>-5.8845820799999999E-5</c:v>
                </c:pt>
                <c:pt idx="19">
                  <c:v>-9.9758445499999998E-5</c:v>
                </c:pt>
                <c:pt idx="20">
                  <c:v>-1.55881568E-4</c:v>
                </c:pt>
                <c:pt idx="21">
                  <c:v>-2.23925362E-4</c:v>
                </c:pt>
                <c:pt idx="22">
                  <c:v>-2.9506103299999998E-4</c:v>
                </c:pt>
                <c:pt idx="23">
                  <c:v>-3.5601621099999998E-4</c:v>
                </c:pt>
                <c:pt idx="24">
                  <c:v>-3.92881442E-4</c:v>
                </c:pt>
                <c:pt idx="25">
                  <c:v>-3.9628451999999998E-4</c:v>
                </c:pt>
                <c:pt idx="26">
                  <c:v>-3.65297379E-4</c:v>
                </c:pt>
                <c:pt idx="27">
                  <c:v>-3.0783740499999999E-4</c:v>
                </c:pt>
                <c:pt idx="28">
                  <c:v>-2.3733575800000001E-4</c:v>
                </c:pt>
                <c:pt idx="29">
                  <c:v>-1.6760772500000001E-4</c:v>
                </c:pt>
                <c:pt idx="30">
                  <c:v>-1.08603256E-4</c:v>
                </c:pt>
                <c:pt idx="31">
                  <c:v>-6.4712028900000001E-5</c:v>
                </c:pt>
                <c:pt idx="32">
                  <c:v>-3.5565122000000003E-5</c:v>
                </c:pt>
                <c:pt idx="33">
                  <c:v>-1.8103117700000001E-5</c:v>
                </c:pt>
                <c:pt idx="34">
                  <c:v>-8.5852552300000002E-6</c:v>
                </c:pt>
                <c:pt idx="35">
                  <c:v>-3.8274163199999999E-6</c:v>
                </c:pt>
                <c:pt idx="36">
                  <c:v>-1.62608314E-6</c:v>
                </c:pt>
                <c:pt idx="37">
                  <c:v>-6.71726893E-7</c:v>
                </c:pt>
                <c:pt idx="38">
                  <c:v>-2.77408485E-7</c:v>
                </c:pt>
                <c:pt idx="39">
                  <c:v>-1.6170822700000001E-7</c:v>
                </c:pt>
                <c:pt idx="40">
                  <c:v>-5.0543652500000003E-8</c:v>
                </c:pt>
                <c:pt idx="41">
                  <c:v>-3.3459794400000002E-10</c:v>
                </c:pt>
                <c:pt idx="42">
                  <c:v>-1.5105829000000001E-12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-9.0302296299999999E-11</c:v>
                </c:pt>
                <c:pt idx="49">
                  <c:v>-1.7421171500000001E-8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D7-44C0-AE22-7978937B11BD}"/>
            </c:ext>
          </c:extLst>
        </c:ser>
        <c:ser>
          <c:idx val="1"/>
          <c:order val="1"/>
          <c:tx>
            <c:strRef>
              <c:f>_fc!$E$1</c:f>
              <c:strCache>
                <c:ptCount val="1"/>
                <c:pt idx="0">
                  <c:v>val_left: 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_fc!$A$2:$A$51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_fc!$E$2:$E$51</c:f>
              <c:numCache>
                <c:formatCode>General</c:formatCode>
                <c:ptCount val="50"/>
                <c:pt idx="0">
                  <c:v>3.8655160000000001E-9</c:v>
                </c:pt>
                <c:pt idx="1">
                  <c:v>7.9519890700000005E-11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1.3682159299999999E-12</c:v>
                </c:pt>
                <c:pt idx="8">
                  <c:v>2.0144802299999999E-10</c:v>
                </c:pt>
                <c:pt idx="9">
                  <c:v>7.5610059999999993E-9</c:v>
                </c:pt>
                <c:pt idx="10">
                  <c:v>2.43807878E-8</c:v>
                </c:pt>
                <c:pt idx="11">
                  <c:v>4.3042001100000001E-8</c:v>
                </c:pt>
                <c:pt idx="12">
                  <c:v>1.04531467E-7</c:v>
                </c:pt>
                <c:pt idx="13">
                  <c:v>2.5443478999999999E-7</c:v>
                </c:pt>
                <c:pt idx="14">
                  <c:v>6.0122997899999997E-7</c:v>
                </c:pt>
                <c:pt idx="15">
                  <c:v>1.3532258700000001E-6</c:v>
                </c:pt>
                <c:pt idx="16">
                  <c:v>2.86485351E-6</c:v>
                </c:pt>
                <c:pt idx="17">
                  <c:v>5.65921974E-6</c:v>
                </c:pt>
                <c:pt idx="18">
                  <c:v>1.03761059E-5</c:v>
                </c:pt>
                <c:pt idx="19">
                  <c:v>1.7590105500000001E-5</c:v>
                </c:pt>
                <c:pt idx="20">
                  <c:v>2.7486126199999999E-5</c:v>
                </c:pt>
                <c:pt idx="21">
                  <c:v>3.9484082999999997E-5</c:v>
                </c:pt>
                <c:pt idx="22">
                  <c:v>5.2027221E-5</c:v>
                </c:pt>
                <c:pt idx="23">
                  <c:v>6.2775263600000004E-5</c:v>
                </c:pt>
                <c:pt idx="24">
                  <c:v>6.9275598499999997E-5</c:v>
                </c:pt>
                <c:pt idx="25">
                  <c:v>6.9875652900000006E-5</c:v>
                </c:pt>
                <c:pt idx="26">
                  <c:v>6.4411783800000005E-5</c:v>
                </c:pt>
                <c:pt idx="27">
                  <c:v>5.4280040200000001E-5</c:v>
                </c:pt>
                <c:pt idx="28">
                  <c:v>4.1848697599999999E-5</c:v>
                </c:pt>
                <c:pt idx="29">
                  <c:v>2.9553764100000001E-5</c:v>
                </c:pt>
                <c:pt idx="30">
                  <c:v>1.91496842E-5</c:v>
                </c:pt>
                <c:pt idx="31">
                  <c:v>1.1410476699999999E-5</c:v>
                </c:pt>
                <c:pt idx="32">
                  <c:v>6.2710905800000001E-6</c:v>
                </c:pt>
                <c:pt idx="33">
                  <c:v>3.1920680800000002E-6</c:v>
                </c:pt>
                <c:pt idx="34">
                  <c:v>1.51381213E-6</c:v>
                </c:pt>
                <c:pt idx="35">
                  <c:v>6.7487676399999998E-7</c:v>
                </c:pt>
                <c:pt idx="36">
                  <c:v>2.8672233E-7</c:v>
                </c:pt>
                <c:pt idx="37">
                  <c:v>1.1844357500000001E-7</c:v>
                </c:pt>
                <c:pt idx="38">
                  <c:v>4.8914600499999998E-8</c:v>
                </c:pt>
                <c:pt idx="39">
                  <c:v>2.8513523499999998E-8</c:v>
                </c:pt>
                <c:pt idx="40">
                  <c:v>8.9122096400000006E-9</c:v>
                </c:pt>
                <c:pt idx="41">
                  <c:v>5.8998645199999996E-11</c:v>
                </c:pt>
                <c:pt idx="42">
                  <c:v>2.6635652099999998E-13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1.5922731300000002E-11</c:v>
                </c:pt>
                <c:pt idx="49">
                  <c:v>3.0718225699999999E-9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D7-44C0-AE22-7978937B1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727535"/>
        <c:axId val="803725455"/>
      </c:scatterChart>
      <c:valAx>
        <c:axId val="80372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725455"/>
        <c:crosses val="autoZero"/>
        <c:crossBetween val="midCat"/>
      </c:valAx>
      <c:valAx>
        <c:axId val="80372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72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val_right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_fc!$H$1</c:f>
              <c:strCache>
                <c:ptCount val="1"/>
                <c:pt idx="0">
                  <c:v>val_right: 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_fc!$A$2:$A$51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_fc!$H$2:$H$51</c:f>
              <c:numCache>
                <c:formatCode>General</c:formatCode>
                <c:ptCount val="50"/>
                <c:pt idx="0">
                  <c:v>2.1922430600000001E-8</c:v>
                </c:pt>
                <c:pt idx="1">
                  <c:v>4.5097970999999998E-10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7.7595381399999995E-12</c:v>
                </c:pt>
                <c:pt idx="8">
                  <c:v>1.1424685100000001E-9</c:v>
                </c:pt>
                <c:pt idx="9">
                  <c:v>4.2880595799999999E-8</c:v>
                </c:pt>
                <c:pt idx="10">
                  <c:v>1.38270318E-7</c:v>
                </c:pt>
                <c:pt idx="11">
                  <c:v>2.4410331799999999E-7</c:v>
                </c:pt>
                <c:pt idx="12">
                  <c:v>5.9282741099999997E-7</c:v>
                </c:pt>
                <c:pt idx="13">
                  <c:v>1.4429714E-6</c:v>
                </c:pt>
                <c:pt idx="14">
                  <c:v>3.4097446500000001E-6</c:v>
                </c:pt>
                <c:pt idx="15">
                  <c:v>7.6745252499999999E-6</c:v>
                </c:pt>
                <c:pt idx="16">
                  <c:v>1.6247391600000001E-5</c:v>
                </c:pt>
                <c:pt idx="17">
                  <c:v>3.2095029999999999E-5</c:v>
                </c:pt>
                <c:pt idx="18">
                  <c:v>5.8845820799999999E-5</c:v>
                </c:pt>
                <c:pt idx="19">
                  <c:v>9.9758445499999998E-5</c:v>
                </c:pt>
                <c:pt idx="20">
                  <c:v>1.55881568E-4</c:v>
                </c:pt>
                <c:pt idx="21">
                  <c:v>2.23925362E-4</c:v>
                </c:pt>
                <c:pt idx="22">
                  <c:v>2.9506103299999998E-4</c:v>
                </c:pt>
                <c:pt idx="23">
                  <c:v>3.5601621099999998E-4</c:v>
                </c:pt>
                <c:pt idx="24">
                  <c:v>3.92881442E-4</c:v>
                </c:pt>
                <c:pt idx="25">
                  <c:v>3.9628451999999998E-4</c:v>
                </c:pt>
                <c:pt idx="26">
                  <c:v>3.65297379E-4</c:v>
                </c:pt>
                <c:pt idx="27">
                  <c:v>3.0783740499999999E-4</c:v>
                </c:pt>
                <c:pt idx="28">
                  <c:v>2.3733575800000001E-4</c:v>
                </c:pt>
                <c:pt idx="29">
                  <c:v>1.6760772500000001E-4</c:v>
                </c:pt>
                <c:pt idx="30">
                  <c:v>1.08603256E-4</c:v>
                </c:pt>
                <c:pt idx="31">
                  <c:v>6.4712028900000001E-5</c:v>
                </c:pt>
                <c:pt idx="32">
                  <c:v>3.5565122000000003E-5</c:v>
                </c:pt>
                <c:pt idx="33">
                  <c:v>1.8103117700000001E-5</c:v>
                </c:pt>
                <c:pt idx="34">
                  <c:v>8.5852552300000002E-6</c:v>
                </c:pt>
                <c:pt idx="35">
                  <c:v>3.8274163199999999E-6</c:v>
                </c:pt>
                <c:pt idx="36">
                  <c:v>1.62608314E-6</c:v>
                </c:pt>
                <c:pt idx="37">
                  <c:v>6.71726893E-7</c:v>
                </c:pt>
                <c:pt idx="38">
                  <c:v>2.77408485E-7</c:v>
                </c:pt>
                <c:pt idx="39">
                  <c:v>1.6170822700000001E-7</c:v>
                </c:pt>
                <c:pt idx="40">
                  <c:v>5.0543652500000003E-8</c:v>
                </c:pt>
                <c:pt idx="41">
                  <c:v>3.3459794400000002E-10</c:v>
                </c:pt>
                <c:pt idx="42">
                  <c:v>1.5105829000000001E-12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9.0302296299999999E-11</c:v>
                </c:pt>
                <c:pt idx="49">
                  <c:v>1.7421171500000001E-8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235-A958-3F1309145DC3}"/>
            </c:ext>
          </c:extLst>
        </c:ser>
        <c:ser>
          <c:idx val="1"/>
          <c:order val="1"/>
          <c:tx>
            <c:strRef>
              <c:f>_fc!$I$1</c:f>
              <c:strCache>
                <c:ptCount val="1"/>
                <c:pt idx="0">
                  <c:v>val_right: 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_fc!$A$2:$A$51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_fc!$I$2:$I$51</c:f>
              <c:numCache>
                <c:formatCode>General</c:formatCode>
                <c:ptCount val="50"/>
                <c:pt idx="0">
                  <c:v>3.8655160000000001E-9</c:v>
                </c:pt>
                <c:pt idx="1">
                  <c:v>7.9519890700000005E-11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1.3682159299999999E-12</c:v>
                </c:pt>
                <c:pt idx="8">
                  <c:v>2.0144802299999999E-10</c:v>
                </c:pt>
                <c:pt idx="9">
                  <c:v>7.5610059999999993E-9</c:v>
                </c:pt>
                <c:pt idx="10">
                  <c:v>2.43807878E-8</c:v>
                </c:pt>
                <c:pt idx="11">
                  <c:v>4.3042001100000001E-8</c:v>
                </c:pt>
                <c:pt idx="12">
                  <c:v>1.04531467E-7</c:v>
                </c:pt>
                <c:pt idx="13">
                  <c:v>2.5443478999999999E-7</c:v>
                </c:pt>
                <c:pt idx="14">
                  <c:v>6.0122997899999997E-7</c:v>
                </c:pt>
                <c:pt idx="15">
                  <c:v>1.3532258700000001E-6</c:v>
                </c:pt>
                <c:pt idx="16">
                  <c:v>2.86485351E-6</c:v>
                </c:pt>
                <c:pt idx="17">
                  <c:v>5.65921974E-6</c:v>
                </c:pt>
                <c:pt idx="18">
                  <c:v>1.03761059E-5</c:v>
                </c:pt>
                <c:pt idx="19">
                  <c:v>1.7590105500000001E-5</c:v>
                </c:pt>
                <c:pt idx="20">
                  <c:v>2.7486126199999999E-5</c:v>
                </c:pt>
                <c:pt idx="21">
                  <c:v>3.9484082999999997E-5</c:v>
                </c:pt>
                <c:pt idx="22">
                  <c:v>5.2027221E-5</c:v>
                </c:pt>
                <c:pt idx="23">
                  <c:v>6.2775263600000004E-5</c:v>
                </c:pt>
                <c:pt idx="24">
                  <c:v>6.9275598499999997E-5</c:v>
                </c:pt>
                <c:pt idx="25">
                  <c:v>6.9875652900000006E-5</c:v>
                </c:pt>
                <c:pt idx="26">
                  <c:v>6.4411783800000005E-5</c:v>
                </c:pt>
                <c:pt idx="27">
                  <c:v>5.4280040200000001E-5</c:v>
                </c:pt>
                <c:pt idx="28">
                  <c:v>4.1848697599999999E-5</c:v>
                </c:pt>
                <c:pt idx="29">
                  <c:v>2.9553764100000001E-5</c:v>
                </c:pt>
                <c:pt idx="30">
                  <c:v>1.91496842E-5</c:v>
                </c:pt>
                <c:pt idx="31">
                  <c:v>1.1410476699999999E-5</c:v>
                </c:pt>
                <c:pt idx="32">
                  <c:v>6.2710905800000001E-6</c:v>
                </c:pt>
                <c:pt idx="33">
                  <c:v>3.1920680800000002E-6</c:v>
                </c:pt>
                <c:pt idx="34">
                  <c:v>1.51381213E-6</c:v>
                </c:pt>
                <c:pt idx="35">
                  <c:v>6.7487676399999998E-7</c:v>
                </c:pt>
                <c:pt idx="36">
                  <c:v>2.8672233E-7</c:v>
                </c:pt>
                <c:pt idx="37">
                  <c:v>1.1844357500000001E-7</c:v>
                </c:pt>
                <c:pt idx="38">
                  <c:v>4.8914600499999998E-8</c:v>
                </c:pt>
                <c:pt idx="39">
                  <c:v>2.8513523499999998E-8</c:v>
                </c:pt>
                <c:pt idx="40">
                  <c:v>8.9122096400000006E-9</c:v>
                </c:pt>
                <c:pt idx="41">
                  <c:v>5.8998645199999996E-11</c:v>
                </c:pt>
                <c:pt idx="42">
                  <c:v>2.6635652099999998E-13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1.5922731300000002E-11</c:v>
                </c:pt>
                <c:pt idx="49">
                  <c:v>3.0718225699999999E-9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235-A958-3F1309145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545551"/>
        <c:axId val="1832797535"/>
      </c:scatterChart>
      <c:valAx>
        <c:axId val="32154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797535"/>
        <c:crosses val="autoZero"/>
        <c:crossBetween val="midCat"/>
      </c:valAx>
      <c:valAx>
        <c:axId val="183279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545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val_bottom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_fc!$L$1</c:f>
              <c:strCache>
                <c:ptCount val="1"/>
                <c:pt idx="0">
                  <c:v>val_bottom: 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_fc!$A$2:$A$51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_fc!$L$2:$L$51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EC-4E07-A789-6E630D0842BA}"/>
            </c:ext>
          </c:extLst>
        </c:ser>
        <c:ser>
          <c:idx val="1"/>
          <c:order val="1"/>
          <c:tx>
            <c:strRef>
              <c:f>_fc!$M$1</c:f>
              <c:strCache>
                <c:ptCount val="1"/>
                <c:pt idx="0">
                  <c:v>val_bottom: 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_fc!$A$2:$A$51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_fc!$M$2:$M$51</c:f>
              <c:numCache>
                <c:formatCode>General</c:formatCode>
                <c:ptCount val="50"/>
                <c:pt idx="0">
                  <c:v>2.2260619400000001E-8</c:v>
                </c:pt>
                <c:pt idx="1">
                  <c:v>4.5793679899999999E-10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4.5793679899999999E-10</c:v>
                </c:pt>
                <c:pt idx="49">
                  <c:v>2.2260619400000001E-8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EC-4E07-A789-6E630D084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9440063"/>
        <c:axId val="1829438815"/>
      </c:scatterChart>
      <c:valAx>
        <c:axId val="182944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438815"/>
        <c:crosses val="autoZero"/>
        <c:crossBetween val="midCat"/>
      </c:valAx>
      <c:valAx>
        <c:axId val="182943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440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val_top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_fc!$P$1</c:f>
              <c:strCache>
                <c:ptCount val="1"/>
                <c:pt idx="0">
                  <c:v>val_top: 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_fc!$A$2:$A$51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_fc!$P$2:$P$51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CC-4598-BFD5-3667D356F2D2}"/>
            </c:ext>
          </c:extLst>
        </c:ser>
        <c:ser>
          <c:idx val="1"/>
          <c:order val="1"/>
          <c:tx>
            <c:strRef>
              <c:f>_fc!$Q$1</c:f>
              <c:strCache>
                <c:ptCount val="1"/>
                <c:pt idx="0">
                  <c:v>val_top: 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_fc!$A$2:$A$51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_fc!$Q$2:$Q$51</c:f>
              <c:numCache>
                <c:formatCode>General</c:formatCode>
                <c:ptCount val="50"/>
                <c:pt idx="0">
                  <c:v>-1.76899212E-8</c:v>
                </c:pt>
                <c:pt idx="1">
                  <c:v>-9.1695354799999998E-11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-9.1695354799999998E-11</c:v>
                </c:pt>
                <c:pt idx="49">
                  <c:v>-1.76899212E-8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CC-4598-BFD5-3667D356F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599"/>
        <c:axId val="57659935"/>
      </c:scatterChart>
      <c:valAx>
        <c:axId val="5766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59935"/>
        <c:crosses val="autoZero"/>
        <c:crossBetween val="midCat"/>
      </c:valAx>
      <c:valAx>
        <c:axId val="5765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61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100012</xdr:colOff>
      <xdr:row>13</xdr:row>
      <xdr:rowOff>152400</xdr:rowOff>
    </xdr:from>
    <xdr:to>
      <xdr:col>10</xdr:col>
      <xdr:colOff>85725</xdr:colOff>
      <xdr:row>26</xdr:row>
      <xdr:rowOff>142875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19050</xdr:colOff>
      <xdr:row>13</xdr:row>
      <xdr:rowOff>142875</xdr:rowOff>
    </xdr:from>
    <xdr:to>
      <xdr:col>20</xdr:col>
      <xdr:colOff>4763</xdr:colOff>
      <xdr:row>26</xdr:row>
      <xdr:rowOff>133350</xdr:rowOff>
    </xdr:to>
    <xdr:graphicFrame macro="">
      <xdr:nvGraphicFramePr>
        <xdr:cNvPr id="3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61912</xdr:colOff>
      <xdr:row>26</xdr:row>
      <xdr:rowOff>123825</xdr:rowOff>
    </xdr:from>
    <xdr:to>
      <xdr:col>15</xdr:col>
      <xdr:colOff>47625</xdr:colOff>
      <xdr:row>39</xdr:row>
      <xdr:rowOff>114300</xdr:rowOff>
    </xdr:to>
    <xdr:graphicFrame macro="">
      <xdr:nvGraphicFramePr>
        <xdr:cNvPr id="4" name="Diagramm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</xdr:colOff>
      <xdr:row>0</xdr:row>
      <xdr:rowOff>152400</xdr:rowOff>
    </xdr:from>
    <xdr:to>
      <xdr:col>15</xdr:col>
      <xdr:colOff>42863</xdr:colOff>
      <xdr:row>13</xdr:row>
      <xdr:rowOff>142875</xdr:rowOff>
    </xdr:to>
    <xdr:graphicFrame macro="">
      <xdr:nvGraphicFramePr>
        <xdr:cNvPr id="5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752475</xdr:colOff>
      <xdr:row>11</xdr:row>
      <xdr:rowOff>0</xdr:rowOff>
    </xdr:from>
    <xdr:to>
      <xdr:col>10</xdr:col>
      <xdr:colOff>752475</xdr:colOff>
      <xdr:row>25</xdr:row>
      <xdr:rowOff>76200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9525</xdr:colOff>
      <xdr:row>11</xdr:row>
      <xdr:rowOff>9525</xdr:rowOff>
    </xdr:from>
    <xdr:to>
      <xdr:col>23</xdr:col>
      <xdr:colOff>9525</xdr:colOff>
      <xdr:row>25</xdr:row>
      <xdr:rowOff>85725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9525</xdr:colOff>
      <xdr:row>23</xdr:row>
      <xdr:rowOff>0</xdr:rowOff>
    </xdr:from>
    <xdr:to>
      <xdr:col>17</xdr:col>
      <xdr:colOff>9525</xdr:colOff>
      <xdr:row>37</xdr:row>
      <xdr:rowOff>76200</xdr:rowOff>
    </xdr:to>
    <xdr:graphicFrame macro="">
      <xdr:nvGraphicFramePr>
        <xdr:cNvPr id="4" name="Diagram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9525</xdr:colOff>
      <xdr:row>0</xdr:row>
      <xdr:rowOff>0</xdr:rowOff>
    </xdr:from>
    <xdr:to>
      <xdr:col>17</xdr:col>
      <xdr:colOff>9525</xdr:colOff>
      <xdr:row>14</xdr:row>
      <xdr:rowOff>76200</xdr:rowOff>
    </xdr:to>
    <xdr:graphicFrame macro="">
      <xdr:nvGraphicFramePr>
        <xdr:cNvPr id="5" name="Diagramm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0</xdr:rowOff>
    </xdr:from>
    <xdr:to>
      <xdr:col>23</xdr:col>
      <xdr:colOff>0</xdr:colOff>
      <xdr:row>15</xdr:row>
      <xdr:rowOff>76200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9525</xdr:colOff>
      <xdr:row>15</xdr:row>
      <xdr:rowOff>85725</xdr:rowOff>
    </xdr:from>
    <xdr:to>
      <xdr:col>23</xdr:col>
      <xdr:colOff>9525</xdr:colOff>
      <xdr:row>29</xdr:row>
      <xdr:rowOff>161925</xdr:rowOff>
    </xdr:to>
    <xdr:graphicFrame macro="">
      <xdr:nvGraphicFramePr>
        <xdr:cNvPr id="4" name="Diagram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29</xdr:col>
      <xdr:colOff>0</xdr:colOff>
      <xdr:row>15</xdr:row>
      <xdr:rowOff>76200</xdr:rowOff>
    </xdr:to>
    <xdr:graphicFrame macro="">
      <xdr:nvGraphicFramePr>
        <xdr:cNvPr id="5" name="Diagramm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15</xdr:row>
      <xdr:rowOff>76200</xdr:rowOff>
    </xdr:from>
    <xdr:to>
      <xdr:col>29</xdr:col>
      <xdr:colOff>0</xdr:colOff>
      <xdr:row>29</xdr:row>
      <xdr:rowOff>152400</xdr:rowOff>
    </xdr:to>
    <xdr:graphicFrame macro="">
      <xdr:nvGraphicFramePr>
        <xdr:cNvPr id="6" name="Diagramm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opLeftCell="A34" workbookViewId="0">
      <selection activeCell="A2" sqref="A2:A51"/>
    </sheetView>
  </sheetViews>
  <sheetFormatPr baseColWidth="10" defaultRowHeight="15" x14ac:dyDescent="0.25"/>
  <cols>
    <col min="1" max="1" width="6" bestFit="1" customWidth="1"/>
    <col min="2" max="2" width="21.85546875" bestFit="1" customWidth="1"/>
    <col min="3" max="3" width="23" bestFit="1" customWidth="1"/>
    <col min="4" max="4" width="24.140625" bestFit="1" customWidth="1"/>
    <col min="5" max="5" width="20.570312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0</v>
      </c>
      <c r="B2">
        <v>1.58728655538644E-4</v>
      </c>
      <c r="C2" s="3">
        <v>1.58728656E-4</v>
      </c>
      <c r="D2">
        <v>1.58728656E-4</v>
      </c>
      <c r="E2">
        <v>1.17273295E-4</v>
      </c>
    </row>
    <row r="3" spans="1:5" x14ac:dyDescent="0.25">
      <c r="A3">
        <v>1</v>
      </c>
      <c r="B3">
        <v>3.2232488431458999E-6</v>
      </c>
      <c r="C3" s="3">
        <v>3.22324884E-6</v>
      </c>
      <c r="D3">
        <v>3.22324884E-6</v>
      </c>
      <c r="E3">
        <v>6.0671915099999996E-7</v>
      </c>
    </row>
    <row r="4" spans="1:5" x14ac:dyDescent="0.25">
      <c r="A4">
        <v>2</v>
      </c>
      <c r="B4">
        <v>0</v>
      </c>
      <c r="C4" s="3">
        <v>0</v>
      </c>
      <c r="D4">
        <v>0</v>
      </c>
      <c r="E4">
        <v>0</v>
      </c>
    </row>
    <row r="5" spans="1:5" x14ac:dyDescent="0.25">
      <c r="A5">
        <v>3</v>
      </c>
      <c r="B5">
        <v>0</v>
      </c>
      <c r="C5" s="3">
        <v>0</v>
      </c>
      <c r="D5">
        <v>0</v>
      </c>
      <c r="E5">
        <v>0</v>
      </c>
    </row>
    <row r="6" spans="1:5" x14ac:dyDescent="0.25">
      <c r="A6">
        <v>4</v>
      </c>
      <c r="B6">
        <v>0</v>
      </c>
      <c r="C6" s="3">
        <v>0</v>
      </c>
      <c r="D6">
        <v>0</v>
      </c>
      <c r="E6">
        <v>0</v>
      </c>
    </row>
    <row r="7" spans="1:5" x14ac:dyDescent="0.25">
      <c r="A7">
        <v>5</v>
      </c>
      <c r="B7">
        <v>0</v>
      </c>
      <c r="C7" s="3">
        <v>0</v>
      </c>
      <c r="D7">
        <v>0</v>
      </c>
      <c r="E7">
        <v>0</v>
      </c>
    </row>
    <row r="8" spans="1:5" x14ac:dyDescent="0.25">
      <c r="A8">
        <v>6</v>
      </c>
      <c r="B8">
        <v>0</v>
      </c>
      <c r="C8" s="3">
        <v>0</v>
      </c>
      <c r="D8">
        <v>0</v>
      </c>
      <c r="E8">
        <v>0</v>
      </c>
    </row>
    <row r="9" spans="1:5" x14ac:dyDescent="0.25">
      <c r="A9">
        <v>7</v>
      </c>
      <c r="B9">
        <v>5.5459085527128797E-8</v>
      </c>
      <c r="C9" s="3">
        <v>5.54590855E-8</v>
      </c>
      <c r="D9">
        <v>0</v>
      </c>
      <c r="E9">
        <v>0</v>
      </c>
    </row>
    <row r="10" spans="1:5" x14ac:dyDescent="0.25">
      <c r="A10">
        <v>8</v>
      </c>
      <c r="B10">
        <v>8.1666404602006694E-6</v>
      </c>
      <c r="C10" s="3">
        <v>8.1666404600000005E-6</v>
      </c>
      <c r="D10">
        <v>0</v>
      </c>
      <c r="E10">
        <v>0</v>
      </c>
    </row>
    <row r="11" spans="1:5" x14ac:dyDescent="0.25">
      <c r="A11">
        <v>9</v>
      </c>
      <c r="B11">
        <v>3.00130953634925E-4</v>
      </c>
      <c r="C11" s="3">
        <v>3.00130954E-4</v>
      </c>
      <c r="D11">
        <v>0</v>
      </c>
      <c r="E11">
        <v>0</v>
      </c>
    </row>
    <row r="12" spans="1:5" x14ac:dyDescent="0.25">
      <c r="A12">
        <v>10</v>
      </c>
      <c r="B12">
        <v>5.5662295582840199E-4</v>
      </c>
      <c r="C12" s="3">
        <v>5.5662295599999997E-4</v>
      </c>
      <c r="D12">
        <v>0</v>
      </c>
      <c r="E12">
        <v>0</v>
      </c>
    </row>
    <row r="13" spans="1:5" x14ac:dyDescent="0.25">
      <c r="A13">
        <v>11</v>
      </c>
      <c r="B13">
        <v>7.1008197320353403E-4</v>
      </c>
      <c r="C13" s="3">
        <v>7.1008197300000001E-4</v>
      </c>
      <c r="D13">
        <v>0</v>
      </c>
      <c r="E13">
        <v>0</v>
      </c>
    </row>
    <row r="14" spans="1:5" x14ac:dyDescent="0.25">
      <c r="A14">
        <v>12</v>
      </c>
      <c r="B14">
        <v>1.1775027206778401E-3</v>
      </c>
      <c r="C14" s="3">
        <v>1.1775027199999999E-3</v>
      </c>
      <c r="D14">
        <v>0</v>
      </c>
      <c r="E14">
        <v>0</v>
      </c>
    </row>
    <row r="15" spans="1:5" x14ac:dyDescent="0.25">
      <c r="A15">
        <v>13</v>
      </c>
      <c r="B15">
        <v>1.88880664679266E-3</v>
      </c>
      <c r="C15" s="3">
        <v>1.88880665E-3</v>
      </c>
      <c r="D15">
        <v>0</v>
      </c>
      <c r="E15">
        <v>0</v>
      </c>
    </row>
    <row r="16" spans="1:5" x14ac:dyDescent="0.25">
      <c r="A16">
        <v>14</v>
      </c>
      <c r="B16">
        <v>2.91332946246141E-3</v>
      </c>
      <c r="C16" s="3">
        <v>2.91332946E-3</v>
      </c>
      <c r="D16">
        <v>0</v>
      </c>
      <c r="E16">
        <v>0</v>
      </c>
    </row>
    <row r="17" spans="1:5" x14ac:dyDescent="0.25">
      <c r="A17">
        <v>15</v>
      </c>
      <c r="B17">
        <v>4.3219806690861099E-3</v>
      </c>
      <c r="C17" s="3">
        <v>4.3219806700000004E-3</v>
      </c>
      <c r="D17">
        <v>0</v>
      </c>
      <c r="E17">
        <v>0</v>
      </c>
    </row>
    <row r="18" spans="1:5" x14ac:dyDescent="0.25">
      <c r="A18">
        <v>16</v>
      </c>
      <c r="B18">
        <v>6.1687650223900999E-3</v>
      </c>
      <c r="C18" s="3">
        <v>6.1687650199999996E-3</v>
      </c>
      <c r="D18">
        <v>0</v>
      </c>
      <c r="E18">
        <v>0</v>
      </c>
    </row>
    <row r="19" spans="1:5" x14ac:dyDescent="0.25">
      <c r="A19">
        <v>17</v>
      </c>
      <c r="B19">
        <v>8.4736289674151397E-3</v>
      </c>
      <c r="C19" s="3">
        <v>8.4736289699999991E-3</v>
      </c>
      <c r="D19">
        <v>0</v>
      </c>
      <c r="E19">
        <v>0</v>
      </c>
    </row>
    <row r="20" spans="1:5" x14ac:dyDescent="0.25">
      <c r="A20">
        <v>18</v>
      </c>
      <c r="B20">
        <v>1.1204586101895101E-2</v>
      </c>
      <c r="C20" s="3">
        <v>1.12045861E-2</v>
      </c>
      <c r="D20">
        <v>0</v>
      </c>
      <c r="E20">
        <v>0</v>
      </c>
    </row>
    <row r="21" spans="1:5" x14ac:dyDescent="0.25">
      <c r="A21">
        <v>19</v>
      </c>
      <c r="B21">
        <v>1.4262943326812201E-2</v>
      </c>
      <c r="C21" s="3">
        <v>1.4262943300000001E-2</v>
      </c>
      <c r="D21">
        <v>0</v>
      </c>
      <c r="E21">
        <v>0</v>
      </c>
    </row>
    <row r="22" spans="1:5" x14ac:dyDescent="0.25">
      <c r="A22">
        <v>20</v>
      </c>
      <c r="B22">
        <v>1.74768449284281E-2</v>
      </c>
      <c r="C22" s="3">
        <v>1.74768449E-2</v>
      </c>
      <c r="D22">
        <v>0</v>
      </c>
      <c r="E22">
        <v>0</v>
      </c>
    </row>
    <row r="23" spans="1:5" x14ac:dyDescent="0.25">
      <c r="A23">
        <v>21</v>
      </c>
      <c r="B23">
        <v>2.0608739856346502E-2</v>
      </c>
      <c r="C23" s="3">
        <v>2.0608739899999999E-2</v>
      </c>
      <c r="D23">
        <v>0</v>
      </c>
      <c r="E23">
        <v>0</v>
      </c>
    </row>
    <row r="24" spans="1:5" x14ac:dyDescent="0.25">
      <c r="A24">
        <v>22</v>
      </c>
      <c r="B24">
        <v>2.3379983495165301E-2</v>
      </c>
      <c r="C24" s="3">
        <v>2.33799835E-2</v>
      </c>
      <c r="D24">
        <v>0</v>
      </c>
      <c r="E24">
        <v>0</v>
      </c>
    </row>
    <row r="25" spans="1:5" x14ac:dyDescent="0.25">
      <c r="A25">
        <v>23</v>
      </c>
      <c r="B25">
        <v>2.5510428003122899E-2</v>
      </c>
      <c r="C25" s="3">
        <v>2.5510428000000002E-2</v>
      </c>
      <c r="D25">
        <v>0</v>
      </c>
      <c r="E25">
        <v>0</v>
      </c>
    </row>
    <row r="26" spans="1:5" x14ac:dyDescent="0.25">
      <c r="A26">
        <v>24</v>
      </c>
      <c r="B26">
        <v>2.6765035634594699E-2</v>
      </c>
      <c r="C26" s="3">
        <v>2.6765035600000001E-2</v>
      </c>
      <c r="D26">
        <v>0</v>
      </c>
      <c r="E26">
        <v>0</v>
      </c>
    </row>
    <row r="27" spans="1:5" x14ac:dyDescent="0.25">
      <c r="A27">
        <v>25</v>
      </c>
      <c r="B27">
        <v>2.6996397123695101E-2</v>
      </c>
      <c r="C27" s="3">
        <v>2.69963971E-2</v>
      </c>
      <c r="D27">
        <v>0</v>
      </c>
      <c r="E27">
        <v>0</v>
      </c>
    </row>
    <row r="28" spans="1:5" x14ac:dyDescent="0.25">
      <c r="A28">
        <v>26</v>
      </c>
      <c r="B28">
        <v>2.6172713562070401E-2</v>
      </c>
      <c r="C28" s="3">
        <v>2.6172713600000001E-2</v>
      </c>
      <c r="D28">
        <v>0</v>
      </c>
      <c r="E28">
        <v>0</v>
      </c>
    </row>
    <row r="29" spans="1:5" x14ac:dyDescent="0.25">
      <c r="A29">
        <v>27</v>
      </c>
      <c r="B29">
        <v>2.4384442332674901E-2</v>
      </c>
      <c r="C29" s="3">
        <v>2.43844423E-2</v>
      </c>
      <c r="D29">
        <v>0</v>
      </c>
      <c r="E29">
        <v>0</v>
      </c>
    </row>
    <row r="30" spans="1:5" x14ac:dyDescent="0.25">
      <c r="A30">
        <v>28</v>
      </c>
      <c r="B30">
        <v>2.1828007815197101E-2</v>
      </c>
      <c r="C30" s="3">
        <v>2.18280078E-2</v>
      </c>
      <c r="D30">
        <v>0</v>
      </c>
      <c r="E30">
        <v>0</v>
      </c>
    </row>
    <row r="31" spans="1:5" x14ac:dyDescent="0.25">
      <c r="A31">
        <v>29</v>
      </c>
      <c r="B31">
        <v>1.8770490119774601E-2</v>
      </c>
      <c r="C31" s="3">
        <v>1.8770490099999999E-2</v>
      </c>
      <c r="D31">
        <v>0</v>
      </c>
      <c r="E31">
        <v>0</v>
      </c>
    </row>
    <row r="32" spans="1:5" x14ac:dyDescent="0.25">
      <c r="A32">
        <v>30</v>
      </c>
      <c r="B32">
        <v>1.5503758219898901E-2</v>
      </c>
      <c r="C32" s="3">
        <v>1.55037582E-2</v>
      </c>
      <c r="D32">
        <v>0</v>
      </c>
      <c r="E32">
        <v>0</v>
      </c>
    </row>
    <row r="33" spans="1:5" x14ac:dyDescent="0.25">
      <c r="A33">
        <v>31</v>
      </c>
      <c r="B33">
        <v>1.2298792190280501E-2</v>
      </c>
      <c r="C33" s="3">
        <v>1.22987922E-2</v>
      </c>
      <c r="D33">
        <v>0</v>
      </c>
      <c r="E33">
        <v>0</v>
      </c>
    </row>
    <row r="34" spans="1:5" x14ac:dyDescent="0.25">
      <c r="A34">
        <v>32</v>
      </c>
      <c r="B34">
        <v>9.3701068965104401E-3</v>
      </c>
      <c r="C34" s="3">
        <v>9.3701068999999994E-3</v>
      </c>
      <c r="D34">
        <v>0</v>
      </c>
      <c r="E34">
        <v>0</v>
      </c>
    </row>
    <row r="35" spans="1:5" x14ac:dyDescent="0.25">
      <c r="A35">
        <v>33</v>
      </c>
      <c r="B35">
        <v>6.8564987163722202E-3</v>
      </c>
      <c r="C35" s="3">
        <v>6.8564987199999997E-3</v>
      </c>
      <c r="D35">
        <v>0</v>
      </c>
      <c r="E35">
        <v>0</v>
      </c>
    </row>
    <row r="36" spans="1:5" x14ac:dyDescent="0.25">
      <c r="A36">
        <v>34</v>
      </c>
      <c r="B36">
        <v>4.8192111977285604E-3</v>
      </c>
      <c r="C36" s="3">
        <v>4.8192112000000004E-3</v>
      </c>
      <c r="D36">
        <v>0</v>
      </c>
      <c r="E36">
        <v>0</v>
      </c>
    </row>
    <row r="37" spans="1:5" x14ac:dyDescent="0.25">
      <c r="A37">
        <v>35</v>
      </c>
      <c r="B37">
        <v>3.2540015804018801E-3</v>
      </c>
      <c r="C37" s="3">
        <v>3.2540015800000001E-3</v>
      </c>
      <c r="D37">
        <v>0</v>
      </c>
      <c r="E37">
        <v>0</v>
      </c>
    </row>
    <row r="38" spans="1:5" x14ac:dyDescent="0.25">
      <c r="A38">
        <v>36</v>
      </c>
      <c r="B38">
        <v>2.1109825346499098E-3</v>
      </c>
      <c r="C38" s="3">
        <v>2.11098253E-3</v>
      </c>
      <c r="D38">
        <v>0</v>
      </c>
      <c r="E38">
        <v>0</v>
      </c>
    </row>
    <row r="39" spans="1:5" x14ac:dyDescent="0.25">
      <c r="A39">
        <v>37</v>
      </c>
      <c r="B39">
        <v>1.3159191252397301E-3</v>
      </c>
      <c r="C39" s="3">
        <v>1.3159191299999999E-3</v>
      </c>
      <c r="D39">
        <v>0</v>
      </c>
      <c r="E39">
        <v>0</v>
      </c>
    </row>
    <row r="40" spans="1:5" x14ac:dyDescent="0.25">
      <c r="A40">
        <v>38</v>
      </c>
      <c r="B40">
        <v>7.8949963153512295E-4</v>
      </c>
      <c r="C40" s="3">
        <v>7.8949963200000001E-4</v>
      </c>
      <c r="D40">
        <v>0</v>
      </c>
      <c r="E40">
        <v>0</v>
      </c>
    </row>
    <row r="41" spans="1:5" x14ac:dyDescent="0.25">
      <c r="A41">
        <v>39</v>
      </c>
      <c r="B41">
        <v>6.2757613026075403E-4</v>
      </c>
      <c r="C41" s="3">
        <v>6.2757613000000005E-4</v>
      </c>
      <c r="D41">
        <v>0</v>
      </c>
      <c r="E41">
        <v>0</v>
      </c>
    </row>
    <row r="42" spans="1:5" x14ac:dyDescent="0.25">
      <c r="A42">
        <v>40</v>
      </c>
      <c r="B42">
        <v>3.3794371738432799E-4</v>
      </c>
      <c r="C42" s="3">
        <v>3.3794371700000001E-4</v>
      </c>
      <c r="D42">
        <v>0</v>
      </c>
      <c r="E42">
        <v>0</v>
      </c>
    </row>
    <row r="43" spans="1:5" x14ac:dyDescent="0.25">
      <c r="A43">
        <v>41</v>
      </c>
      <c r="B43">
        <v>2.2481316088479499E-6</v>
      </c>
      <c r="C43" s="3">
        <v>2.2481316099999998E-6</v>
      </c>
      <c r="D43">
        <v>0</v>
      </c>
      <c r="E43">
        <v>0</v>
      </c>
    </row>
    <row r="44" spans="1:5" x14ac:dyDescent="0.25">
      <c r="A44">
        <v>42</v>
      </c>
      <c r="B44">
        <v>1.01492388440903E-8</v>
      </c>
      <c r="C44" s="3">
        <v>1.01492388E-8</v>
      </c>
      <c r="D44">
        <v>0</v>
      </c>
      <c r="E44">
        <v>0</v>
      </c>
    </row>
    <row r="45" spans="1:5" x14ac:dyDescent="0.25">
      <c r="A45">
        <v>43</v>
      </c>
      <c r="B45">
        <v>0</v>
      </c>
      <c r="C45" s="3">
        <v>0</v>
      </c>
      <c r="D45">
        <v>0</v>
      </c>
      <c r="E45">
        <v>0</v>
      </c>
    </row>
    <row r="46" spans="1:5" x14ac:dyDescent="0.25">
      <c r="A46">
        <v>44</v>
      </c>
      <c r="B46">
        <v>0</v>
      </c>
      <c r="C46" s="3">
        <v>0</v>
      </c>
      <c r="D46">
        <v>0</v>
      </c>
      <c r="E46">
        <v>0</v>
      </c>
    </row>
    <row r="47" spans="1:5" x14ac:dyDescent="0.25">
      <c r="A47">
        <v>45</v>
      </c>
      <c r="B47">
        <v>0</v>
      </c>
      <c r="C47" s="3">
        <v>0</v>
      </c>
      <c r="D47">
        <v>0</v>
      </c>
      <c r="E47">
        <v>0</v>
      </c>
    </row>
    <row r="48" spans="1:5" x14ac:dyDescent="0.25">
      <c r="A48">
        <v>46</v>
      </c>
      <c r="B48">
        <v>0</v>
      </c>
      <c r="C48" s="3">
        <v>0</v>
      </c>
      <c r="D48">
        <v>0</v>
      </c>
      <c r="E48">
        <v>0</v>
      </c>
    </row>
    <row r="49" spans="1:5" x14ac:dyDescent="0.25">
      <c r="A49">
        <v>47</v>
      </c>
      <c r="B49">
        <v>0</v>
      </c>
      <c r="C49" s="3">
        <v>0</v>
      </c>
      <c r="D49">
        <v>0</v>
      </c>
      <c r="E49">
        <v>0</v>
      </c>
    </row>
    <row r="50" spans="1:5" x14ac:dyDescent="0.25">
      <c r="A50">
        <v>48</v>
      </c>
      <c r="B50">
        <v>6.0671915122078503E-7</v>
      </c>
      <c r="C50" s="3">
        <v>6.0671915099999996E-7</v>
      </c>
      <c r="D50">
        <v>3.22324884E-6</v>
      </c>
      <c r="E50">
        <v>6.0671915099999996E-7</v>
      </c>
    </row>
    <row r="51" spans="1:5" x14ac:dyDescent="0.25">
      <c r="A51">
        <v>49</v>
      </c>
      <c r="B51">
        <v>1.17273295481922E-4</v>
      </c>
      <c r="C51" s="3">
        <v>1.17273295E-4</v>
      </c>
      <c r="D51">
        <v>1.58728656E-4</v>
      </c>
      <c r="E51">
        <v>1.17273295E-4</v>
      </c>
    </row>
    <row r="52" spans="1:5" x14ac:dyDescent="0.25">
      <c r="C52" s="3"/>
    </row>
    <row r="53" spans="1:5" x14ac:dyDescent="0.25">
      <c r="C53" s="3"/>
    </row>
    <row r="54" spans="1:5" x14ac:dyDescent="0.25">
      <c r="C54" s="3"/>
    </row>
    <row r="55" spans="1:5" x14ac:dyDescent="0.25">
      <c r="C55" s="3"/>
    </row>
    <row r="56" spans="1:5" x14ac:dyDescent="0.25">
      <c r="C56" s="3"/>
    </row>
    <row r="57" spans="1:5" x14ac:dyDescent="0.25">
      <c r="C57" s="3"/>
    </row>
    <row r="58" spans="1:5" x14ac:dyDescent="0.25">
      <c r="C58" s="3"/>
    </row>
    <row r="59" spans="1:5" x14ac:dyDescent="0.25">
      <c r="C59" s="3"/>
    </row>
    <row r="60" spans="1:5" x14ac:dyDescent="0.25">
      <c r="C60" s="3"/>
    </row>
    <row r="61" spans="1:5" x14ac:dyDescent="0.25">
      <c r="C61" s="3"/>
    </row>
    <row r="62" spans="1:5" x14ac:dyDescent="0.25">
      <c r="C62" s="3"/>
    </row>
    <row r="63" spans="1:5" x14ac:dyDescent="0.25">
      <c r="C63" s="3"/>
    </row>
    <row r="64" spans="1:5" x14ac:dyDescent="0.25">
      <c r="C64" s="3"/>
    </row>
    <row r="65" spans="3:3" x14ac:dyDescent="0.25">
      <c r="C65" s="3"/>
    </row>
    <row r="66" spans="3:3" x14ac:dyDescent="0.25">
      <c r="C66" s="3"/>
    </row>
    <row r="67" spans="3:3" x14ac:dyDescent="0.25">
      <c r="C67" s="3"/>
    </row>
    <row r="68" spans="3:3" x14ac:dyDescent="0.25">
      <c r="C68" s="3"/>
    </row>
    <row r="69" spans="3:3" x14ac:dyDescent="0.25">
      <c r="C69" s="3"/>
    </row>
    <row r="70" spans="3:3" x14ac:dyDescent="0.25">
      <c r="C70" s="3"/>
    </row>
    <row r="71" spans="3:3" x14ac:dyDescent="0.25">
      <c r="C71" s="3"/>
    </row>
    <row r="72" spans="3:3" x14ac:dyDescent="0.25">
      <c r="C72" s="3"/>
    </row>
    <row r="73" spans="3:3" x14ac:dyDescent="0.25">
      <c r="C73" s="3"/>
    </row>
    <row r="74" spans="3:3" x14ac:dyDescent="0.25">
      <c r="C74" s="3"/>
    </row>
    <row r="75" spans="3:3" x14ac:dyDescent="0.25">
      <c r="C75" s="3"/>
    </row>
    <row r="76" spans="3:3" x14ac:dyDescent="0.25">
      <c r="C76" s="3"/>
    </row>
    <row r="77" spans="3:3" x14ac:dyDescent="0.25">
      <c r="C77" s="3"/>
    </row>
    <row r="78" spans="3:3" x14ac:dyDescent="0.25">
      <c r="C78" s="3"/>
    </row>
    <row r="79" spans="3:3" x14ac:dyDescent="0.25">
      <c r="C79" s="3"/>
    </row>
    <row r="80" spans="3:3" x14ac:dyDescent="0.25">
      <c r="C80" s="3"/>
    </row>
    <row r="81" spans="3:3" x14ac:dyDescent="0.25">
      <c r="C81" s="3"/>
    </row>
    <row r="82" spans="3:3" x14ac:dyDescent="0.25">
      <c r="C82" s="3"/>
    </row>
    <row r="83" spans="3:3" x14ac:dyDescent="0.25">
      <c r="C83" s="3"/>
    </row>
    <row r="84" spans="3:3" x14ac:dyDescent="0.25">
      <c r="C84" s="3"/>
    </row>
    <row r="85" spans="3:3" x14ac:dyDescent="0.25">
      <c r="C85" s="3"/>
    </row>
    <row r="86" spans="3:3" x14ac:dyDescent="0.25">
      <c r="C86" s="3"/>
    </row>
    <row r="87" spans="3:3" x14ac:dyDescent="0.25">
      <c r="C87" s="3"/>
    </row>
    <row r="88" spans="3:3" x14ac:dyDescent="0.25">
      <c r="C88" s="3"/>
    </row>
    <row r="89" spans="3:3" x14ac:dyDescent="0.25">
      <c r="C89" s="3"/>
    </row>
    <row r="90" spans="3:3" x14ac:dyDescent="0.25">
      <c r="C90" s="3"/>
    </row>
    <row r="91" spans="3:3" x14ac:dyDescent="0.25">
      <c r="C91" s="3"/>
    </row>
    <row r="92" spans="3:3" x14ac:dyDescent="0.25">
      <c r="C92" s="3"/>
    </row>
    <row r="93" spans="3:3" x14ac:dyDescent="0.25">
      <c r="C93" s="3"/>
    </row>
    <row r="94" spans="3:3" x14ac:dyDescent="0.25">
      <c r="C94" s="3"/>
    </row>
    <row r="95" spans="3:3" x14ac:dyDescent="0.25">
      <c r="C95" s="3"/>
    </row>
    <row r="96" spans="3:3" x14ac:dyDescent="0.25">
      <c r="C96" s="3"/>
    </row>
    <row r="97" spans="3:3" x14ac:dyDescent="0.25">
      <c r="C97" s="3"/>
    </row>
    <row r="98" spans="3:3" x14ac:dyDescent="0.25">
      <c r="C98" s="3"/>
    </row>
    <row r="99" spans="3:3" x14ac:dyDescent="0.25">
      <c r="C99" s="3"/>
    </row>
    <row r="100" spans="3:3" x14ac:dyDescent="0.25">
      <c r="C100" s="3"/>
    </row>
    <row r="101" spans="3:3" x14ac:dyDescent="0.25">
      <c r="C101" s="3"/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T31" sqref="T31"/>
    </sheetView>
  </sheetViews>
  <sheetFormatPr baseColWidth="10" defaultRowHeight="15" x14ac:dyDescent="0.25"/>
  <cols>
    <col min="1" max="1" width="6" bestFit="1" customWidth="1"/>
  </cols>
  <sheetData>
    <row r="1" spans="1:5" x14ac:dyDescent="0.25">
      <c r="A1" s="1" t="s">
        <v>0</v>
      </c>
      <c r="B1" s="2" t="s">
        <v>102</v>
      </c>
      <c r="C1" s="2" t="s">
        <v>103</v>
      </c>
      <c r="D1" s="2" t="s">
        <v>104</v>
      </c>
      <c r="E1" s="2" t="s">
        <v>105</v>
      </c>
    </row>
    <row r="2" spans="1:5" x14ac:dyDescent="0.25">
      <c r="A2">
        <v>0</v>
      </c>
      <c r="B2">
        <v>1.4024E-4</v>
      </c>
      <c r="C2">
        <v>1.4024E-4</v>
      </c>
      <c r="D2" s="12">
        <v>1.4024E-4</v>
      </c>
      <c r="E2" s="12">
        <v>1.5084000000000001E-4</v>
      </c>
    </row>
    <row r="3" spans="1:5" x14ac:dyDescent="0.25">
      <c r="A3">
        <v>1</v>
      </c>
      <c r="B3">
        <v>1.4207E-4</v>
      </c>
      <c r="C3">
        <v>1.4207E-4</v>
      </c>
      <c r="D3" s="12">
        <v>1.4207E-4</v>
      </c>
      <c r="E3" s="12">
        <v>1.5113E-4</v>
      </c>
    </row>
    <row r="4" spans="1:5" x14ac:dyDescent="0.25">
      <c r="A4">
        <v>2</v>
      </c>
      <c r="B4">
        <v>1.4207E-4</v>
      </c>
      <c r="C4">
        <v>1.4207E-4</v>
      </c>
      <c r="D4" s="12">
        <v>1.4207E-4</v>
      </c>
      <c r="E4" s="12">
        <v>1.5113E-4</v>
      </c>
    </row>
    <row r="5" spans="1:5" x14ac:dyDescent="0.25">
      <c r="A5">
        <v>3</v>
      </c>
      <c r="B5">
        <v>1.4207E-4</v>
      </c>
      <c r="C5">
        <v>1.4207E-4</v>
      </c>
      <c r="D5" s="12">
        <v>1.4207E-4</v>
      </c>
      <c r="E5" s="12">
        <v>1.5113E-4</v>
      </c>
    </row>
    <row r="6" spans="1:5" x14ac:dyDescent="0.25">
      <c r="A6">
        <v>4</v>
      </c>
      <c r="B6">
        <v>1.4207E-4</v>
      </c>
      <c r="C6">
        <v>1.4207E-4</v>
      </c>
      <c r="D6" s="12">
        <v>1.4207E-4</v>
      </c>
      <c r="E6" s="12">
        <v>1.5113E-4</v>
      </c>
    </row>
    <row r="7" spans="1:5" x14ac:dyDescent="0.25">
      <c r="A7">
        <v>5</v>
      </c>
      <c r="B7">
        <v>1.4207E-4</v>
      </c>
      <c r="C7">
        <v>1.4207E-4</v>
      </c>
      <c r="D7" s="12">
        <v>1.4207E-4</v>
      </c>
      <c r="E7" s="12">
        <v>1.5113E-4</v>
      </c>
    </row>
    <row r="8" spans="1:5" x14ac:dyDescent="0.25">
      <c r="A8">
        <v>6</v>
      </c>
      <c r="B8">
        <v>1.4207E-4</v>
      </c>
      <c r="C8">
        <v>1.4207E-4</v>
      </c>
      <c r="D8" s="12">
        <v>1.4207E-4</v>
      </c>
      <c r="E8" s="12">
        <v>1.5113E-4</v>
      </c>
    </row>
    <row r="9" spans="1:5" x14ac:dyDescent="0.25">
      <c r="A9">
        <v>7</v>
      </c>
      <c r="B9">
        <v>1.4207E-4</v>
      </c>
      <c r="C9">
        <v>1.4207E-4</v>
      </c>
      <c r="D9" s="12">
        <v>1.4207E-4</v>
      </c>
      <c r="E9" s="12">
        <v>1.5113E-4</v>
      </c>
    </row>
    <row r="10" spans="1:5" x14ac:dyDescent="0.25">
      <c r="A10">
        <v>8</v>
      </c>
      <c r="B10">
        <v>1.4205000000000001E-4</v>
      </c>
      <c r="C10">
        <v>1.4205000000000001E-4</v>
      </c>
      <c r="D10" s="12">
        <v>1.4207E-4</v>
      </c>
      <c r="E10" s="12">
        <v>1.5113E-4</v>
      </c>
    </row>
    <row r="11" spans="1:5" x14ac:dyDescent="0.25">
      <c r="A11">
        <v>9</v>
      </c>
      <c r="B11">
        <v>1.4507999999999999E-4</v>
      </c>
      <c r="C11">
        <v>1.4507999999999999E-4</v>
      </c>
      <c r="D11" s="12">
        <v>1.4207E-4</v>
      </c>
      <c r="E11" s="12">
        <v>1.5113E-4</v>
      </c>
    </row>
    <row r="12" spans="1:5" x14ac:dyDescent="0.25">
      <c r="A12">
        <v>10</v>
      </c>
      <c r="B12">
        <v>2.5223999999999998E-4</v>
      </c>
      <c r="C12">
        <v>2.5223999999999998E-4</v>
      </c>
      <c r="D12" s="12">
        <v>1.4207E-4</v>
      </c>
      <c r="E12" s="12">
        <v>1.5113E-4</v>
      </c>
    </row>
    <row r="13" spans="1:5" x14ac:dyDescent="0.25">
      <c r="A13">
        <v>11</v>
      </c>
      <c r="B13">
        <v>3.4906999999999999E-4</v>
      </c>
      <c r="C13">
        <v>3.4906999999999999E-4</v>
      </c>
      <c r="D13" s="12">
        <v>1.4207E-4</v>
      </c>
      <c r="E13" s="12">
        <v>1.5113E-4</v>
      </c>
    </row>
    <row r="14" spans="1:5" x14ac:dyDescent="0.25">
      <c r="A14">
        <v>12</v>
      </c>
      <c r="B14">
        <v>5.1123E-4</v>
      </c>
      <c r="C14">
        <v>5.1123E-4</v>
      </c>
      <c r="D14" s="12">
        <v>1.4207E-4</v>
      </c>
      <c r="E14" s="12">
        <v>1.5113E-4</v>
      </c>
    </row>
    <row r="15" spans="1:5" x14ac:dyDescent="0.25">
      <c r="A15">
        <v>13</v>
      </c>
      <c r="B15">
        <v>7.7574000000000002E-4</v>
      </c>
      <c r="C15">
        <v>7.7574000000000002E-4</v>
      </c>
      <c r="D15" s="12">
        <v>1.4207E-4</v>
      </c>
      <c r="E15" s="12">
        <v>1.5113E-4</v>
      </c>
    </row>
    <row r="16" spans="1:5" x14ac:dyDescent="0.25">
      <c r="A16">
        <v>14</v>
      </c>
      <c r="B16">
        <v>1.18845E-3</v>
      </c>
      <c r="C16">
        <v>1.18845E-3</v>
      </c>
      <c r="D16" s="12">
        <v>1.4207E-4</v>
      </c>
      <c r="E16" s="12">
        <v>1.5113E-4</v>
      </c>
    </row>
    <row r="17" spans="1:5" x14ac:dyDescent="0.25">
      <c r="A17">
        <v>15</v>
      </c>
      <c r="B17">
        <v>1.80309E-3</v>
      </c>
      <c r="C17">
        <v>1.80309E-3</v>
      </c>
      <c r="D17" s="12">
        <v>1.4207E-4</v>
      </c>
      <c r="E17" s="12">
        <v>1.5113E-4</v>
      </c>
    </row>
    <row r="18" spans="1:5" x14ac:dyDescent="0.25">
      <c r="A18">
        <v>16</v>
      </c>
      <c r="B18">
        <v>2.6744500000000001E-3</v>
      </c>
      <c r="C18">
        <v>2.6744500000000001E-3</v>
      </c>
      <c r="D18" s="12">
        <v>1.4207E-4</v>
      </c>
      <c r="E18" s="12">
        <v>1.5113E-4</v>
      </c>
    </row>
    <row r="19" spans="1:5" x14ac:dyDescent="0.25">
      <c r="A19">
        <v>17</v>
      </c>
      <c r="B19">
        <v>3.84607E-3</v>
      </c>
      <c r="C19">
        <v>3.84607E-3</v>
      </c>
      <c r="D19" s="12">
        <v>1.4207E-4</v>
      </c>
      <c r="E19" s="12">
        <v>1.5113E-4</v>
      </c>
    </row>
    <row r="20" spans="1:5" x14ac:dyDescent="0.25">
      <c r="A20">
        <v>18</v>
      </c>
      <c r="B20">
        <v>5.3329600000000003E-3</v>
      </c>
      <c r="C20">
        <v>5.3329600000000003E-3</v>
      </c>
      <c r="D20" s="12">
        <v>1.4207E-4</v>
      </c>
      <c r="E20" s="12">
        <v>1.5113E-4</v>
      </c>
    </row>
    <row r="21" spans="1:5" x14ac:dyDescent="0.25">
      <c r="A21">
        <v>19</v>
      </c>
      <c r="B21">
        <v>7.1021399999999998E-3</v>
      </c>
      <c r="C21">
        <v>7.1021399999999998E-3</v>
      </c>
      <c r="D21" s="12">
        <v>1.4207E-4</v>
      </c>
      <c r="E21" s="12">
        <v>1.5113E-4</v>
      </c>
    </row>
    <row r="22" spans="1:5" x14ac:dyDescent="0.25">
      <c r="A22">
        <v>20</v>
      </c>
      <c r="B22">
        <v>9.0569099999999996E-3</v>
      </c>
      <c r="C22">
        <v>9.0569099999999996E-3</v>
      </c>
      <c r="D22" s="12">
        <v>1.4207E-4</v>
      </c>
      <c r="E22" s="12">
        <v>1.5113E-4</v>
      </c>
    </row>
    <row r="23" spans="1:5" x14ac:dyDescent="0.25">
      <c r="A23">
        <v>21</v>
      </c>
      <c r="B23">
        <v>1.103317E-2</v>
      </c>
      <c r="C23">
        <v>1.103317E-2</v>
      </c>
      <c r="D23" s="12">
        <v>1.4207E-4</v>
      </c>
      <c r="E23" s="12">
        <v>1.5113E-4</v>
      </c>
    </row>
    <row r="24" spans="1:5" x14ac:dyDescent="0.25">
      <c r="A24">
        <v>22</v>
      </c>
      <c r="B24">
        <v>1.281493E-2</v>
      </c>
      <c r="C24">
        <v>1.281493E-2</v>
      </c>
      <c r="D24" s="12">
        <v>1.4207E-4</v>
      </c>
      <c r="E24" s="12">
        <v>1.5113E-4</v>
      </c>
    </row>
    <row r="25" spans="1:5" x14ac:dyDescent="0.25">
      <c r="A25">
        <v>23</v>
      </c>
      <c r="B25">
        <v>1.4171E-2</v>
      </c>
      <c r="C25">
        <v>1.4171E-2</v>
      </c>
      <c r="D25" s="12">
        <v>1.4207E-4</v>
      </c>
      <c r="E25" s="12">
        <v>1.5113E-4</v>
      </c>
    </row>
    <row r="26" spans="1:5" x14ac:dyDescent="0.25">
      <c r="A26">
        <v>24</v>
      </c>
      <c r="B26">
        <v>1.490535E-2</v>
      </c>
      <c r="C26">
        <v>1.490535E-2</v>
      </c>
      <c r="D26" s="12">
        <v>1.4207E-4</v>
      </c>
      <c r="E26" s="12">
        <v>1.5113E-4</v>
      </c>
    </row>
    <row r="27" spans="1:5" x14ac:dyDescent="0.25">
      <c r="A27">
        <v>25</v>
      </c>
      <c r="B27">
        <v>1.490561E-2</v>
      </c>
      <c r="C27">
        <v>1.490561E-2</v>
      </c>
      <c r="D27" s="12">
        <v>1.4207E-4</v>
      </c>
      <c r="E27" s="12">
        <v>1.5113E-4</v>
      </c>
    </row>
    <row r="28" spans="1:5" x14ac:dyDescent="0.25">
      <c r="A28">
        <v>26</v>
      </c>
      <c r="B28">
        <v>1.4172499999999999E-2</v>
      </c>
      <c r="C28">
        <v>1.4172499999999999E-2</v>
      </c>
      <c r="D28" s="12">
        <v>1.4207E-4</v>
      </c>
      <c r="E28" s="12">
        <v>1.5113E-4</v>
      </c>
    </row>
    <row r="29" spans="1:5" x14ac:dyDescent="0.25">
      <c r="A29">
        <v>27</v>
      </c>
      <c r="B29">
        <v>1.281909E-2</v>
      </c>
      <c r="C29">
        <v>1.281909E-2</v>
      </c>
      <c r="D29" s="12">
        <v>1.4207E-4</v>
      </c>
      <c r="E29" s="12">
        <v>1.5113E-4</v>
      </c>
    </row>
    <row r="30" spans="1:5" x14ac:dyDescent="0.25">
      <c r="A30">
        <v>28</v>
      </c>
      <c r="B30">
        <v>1.104073E-2</v>
      </c>
      <c r="C30">
        <v>1.104073E-2</v>
      </c>
      <c r="D30" s="12">
        <v>1.4207E-4</v>
      </c>
      <c r="E30" s="12">
        <v>1.5113E-4</v>
      </c>
    </row>
    <row r="31" spans="1:5" x14ac:dyDescent="0.25">
      <c r="A31">
        <v>29</v>
      </c>
      <c r="B31">
        <v>9.06707E-3</v>
      </c>
      <c r="C31">
        <v>9.06707E-3</v>
      </c>
      <c r="D31" s="12">
        <v>1.4207E-4</v>
      </c>
      <c r="E31" s="12">
        <v>1.5113E-4</v>
      </c>
    </row>
    <row r="32" spans="1:5" x14ac:dyDescent="0.25">
      <c r="A32">
        <v>30</v>
      </c>
      <c r="B32">
        <v>7.1130300000000002E-3</v>
      </c>
      <c r="C32">
        <v>7.1130300000000002E-3</v>
      </c>
      <c r="D32" s="12">
        <v>1.4207E-4</v>
      </c>
      <c r="E32" s="12">
        <v>1.5113E-4</v>
      </c>
    </row>
    <row r="33" spans="1:5" x14ac:dyDescent="0.25">
      <c r="A33">
        <v>31</v>
      </c>
      <c r="B33">
        <v>5.3428299999999998E-3</v>
      </c>
      <c r="C33">
        <v>5.3428299999999998E-3</v>
      </c>
      <c r="D33" s="12">
        <v>1.4207E-4</v>
      </c>
      <c r="E33" s="12">
        <v>1.5113E-4</v>
      </c>
    </row>
    <row r="34" spans="1:5" x14ac:dyDescent="0.25">
      <c r="A34">
        <v>32</v>
      </c>
      <c r="B34">
        <v>3.8541500000000002E-3</v>
      </c>
      <c r="C34">
        <v>3.8541500000000002E-3</v>
      </c>
      <c r="D34" s="12">
        <v>1.4207E-4</v>
      </c>
      <c r="E34" s="12">
        <v>1.5113E-4</v>
      </c>
    </row>
    <row r="35" spans="1:5" x14ac:dyDescent="0.25">
      <c r="A35">
        <v>33</v>
      </c>
      <c r="B35">
        <v>2.6810200000000001E-3</v>
      </c>
      <c r="C35">
        <v>2.6810200000000001E-3</v>
      </c>
      <c r="D35" s="12">
        <v>1.4207E-4</v>
      </c>
      <c r="E35" s="12">
        <v>1.5113E-4</v>
      </c>
    </row>
    <row r="36" spans="1:5" x14ac:dyDescent="0.25">
      <c r="A36">
        <v>34</v>
      </c>
      <c r="B36">
        <v>1.8089499999999999E-3</v>
      </c>
      <c r="C36">
        <v>1.8089499999999999E-3</v>
      </c>
      <c r="D36" s="12">
        <v>1.4207E-4</v>
      </c>
      <c r="E36" s="12">
        <v>1.5113E-4</v>
      </c>
    </row>
    <row r="37" spans="1:5" x14ac:dyDescent="0.25">
      <c r="A37">
        <v>35</v>
      </c>
      <c r="B37">
        <v>1.19436E-3</v>
      </c>
      <c r="C37">
        <v>1.19436E-3</v>
      </c>
      <c r="D37" s="12">
        <v>1.4207E-4</v>
      </c>
      <c r="E37" s="12">
        <v>1.5113E-4</v>
      </c>
    </row>
    <row r="38" spans="1:5" x14ac:dyDescent="0.25">
      <c r="A38">
        <v>36</v>
      </c>
      <c r="B38">
        <v>7.8218000000000005E-4</v>
      </c>
      <c r="C38">
        <v>7.8218000000000005E-4</v>
      </c>
      <c r="D38" s="12">
        <v>1.4207E-4</v>
      </c>
      <c r="E38" s="12">
        <v>1.5113E-4</v>
      </c>
    </row>
    <row r="39" spans="1:5" x14ac:dyDescent="0.25">
      <c r="A39">
        <v>37</v>
      </c>
      <c r="B39">
        <v>5.1833999999999995E-4</v>
      </c>
      <c r="C39">
        <v>5.1833999999999995E-4</v>
      </c>
      <c r="D39" s="12">
        <v>1.4207E-4</v>
      </c>
      <c r="E39" s="12">
        <v>1.5113E-4</v>
      </c>
    </row>
    <row r="40" spans="1:5" x14ac:dyDescent="0.25">
      <c r="A40">
        <v>38</v>
      </c>
      <c r="B40">
        <v>3.5679E-4</v>
      </c>
      <c r="C40">
        <v>3.5679E-4</v>
      </c>
      <c r="D40" s="12">
        <v>1.4207E-4</v>
      </c>
      <c r="E40" s="12">
        <v>1.5113E-4</v>
      </c>
    </row>
    <row r="41" spans="1:5" x14ac:dyDescent="0.25">
      <c r="A41">
        <v>39</v>
      </c>
      <c r="B41">
        <v>2.6164999999999999E-4</v>
      </c>
      <c r="C41">
        <v>2.6164999999999999E-4</v>
      </c>
      <c r="D41" s="12">
        <v>1.4207E-4</v>
      </c>
      <c r="E41" s="12">
        <v>1.5113E-4</v>
      </c>
    </row>
    <row r="42" spans="1:5" x14ac:dyDescent="0.25">
      <c r="A42">
        <v>40</v>
      </c>
      <c r="B42">
        <v>1.5186999999999999E-4</v>
      </c>
      <c r="C42">
        <v>1.5186999999999999E-4</v>
      </c>
      <c r="D42" s="12">
        <v>1.4207E-4</v>
      </c>
      <c r="E42" s="12">
        <v>1.5113E-4</v>
      </c>
    </row>
    <row r="43" spans="1:5" x14ac:dyDescent="0.25">
      <c r="A43">
        <v>41</v>
      </c>
      <c r="B43">
        <v>1.5113E-4</v>
      </c>
      <c r="C43">
        <v>1.5113E-4</v>
      </c>
      <c r="D43" s="12">
        <v>1.4207E-4</v>
      </c>
      <c r="E43" s="12">
        <v>1.5113E-4</v>
      </c>
    </row>
    <row r="44" spans="1:5" x14ac:dyDescent="0.25">
      <c r="A44">
        <v>42</v>
      </c>
      <c r="B44">
        <v>1.5113E-4</v>
      </c>
      <c r="C44">
        <v>1.5113E-4</v>
      </c>
      <c r="D44" s="12">
        <v>1.4207E-4</v>
      </c>
      <c r="E44" s="12">
        <v>1.5113E-4</v>
      </c>
    </row>
    <row r="45" spans="1:5" x14ac:dyDescent="0.25">
      <c r="A45">
        <v>43</v>
      </c>
      <c r="B45">
        <v>1.5113E-4</v>
      </c>
      <c r="C45">
        <v>1.5113E-4</v>
      </c>
      <c r="D45" s="12">
        <v>1.4207E-4</v>
      </c>
      <c r="E45" s="12">
        <v>1.5113E-4</v>
      </c>
    </row>
    <row r="46" spans="1:5" x14ac:dyDescent="0.25">
      <c r="A46">
        <v>44</v>
      </c>
      <c r="B46">
        <v>1.5113E-4</v>
      </c>
      <c r="C46">
        <v>1.5113E-4</v>
      </c>
      <c r="D46" s="12">
        <v>1.4207E-4</v>
      </c>
      <c r="E46" s="12">
        <v>1.5113E-4</v>
      </c>
    </row>
    <row r="47" spans="1:5" x14ac:dyDescent="0.25">
      <c r="A47">
        <v>45</v>
      </c>
      <c r="B47">
        <v>1.5113E-4</v>
      </c>
      <c r="C47">
        <v>1.5113E-4</v>
      </c>
      <c r="D47" s="12">
        <v>1.4207E-4</v>
      </c>
      <c r="E47" s="12">
        <v>1.5113E-4</v>
      </c>
    </row>
    <row r="48" spans="1:5" x14ac:dyDescent="0.25">
      <c r="A48">
        <v>46</v>
      </c>
      <c r="B48">
        <v>1.5113E-4</v>
      </c>
      <c r="C48">
        <v>1.5113E-4</v>
      </c>
      <c r="D48" s="12">
        <v>1.4207E-4</v>
      </c>
      <c r="E48" s="12">
        <v>1.5113E-4</v>
      </c>
    </row>
    <row r="49" spans="1:5" x14ac:dyDescent="0.25">
      <c r="A49">
        <v>47</v>
      </c>
      <c r="B49">
        <v>1.5113E-4</v>
      </c>
      <c r="C49">
        <v>1.5113E-4</v>
      </c>
      <c r="D49" s="12">
        <v>1.4207E-4</v>
      </c>
      <c r="E49" s="12">
        <v>1.5113E-4</v>
      </c>
    </row>
    <row r="50" spans="1:5" x14ac:dyDescent="0.25">
      <c r="A50">
        <v>48</v>
      </c>
      <c r="B50">
        <v>1.5113E-4</v>
      </c>
      <c r="C50">
        <v>1.5113E-4</v>
      </c>
      <c r="D50" s="12">
        <v>1.4207E-4</v>
      </c>
      <c r="E50" s="12">
        <v>1.5113E-4</v>
      </c>
    </row>
    <row r="51" spans="1:5" x14ac:dyDescent="0.25">
      <c r="A51">
        <v>49</v>
      </c>
      <c r="B51">
        <v>1.5084000000000001E-4</v>
      </c>
      <c r="C51">
        <v>1.5084000000000001E-4</v>
      </c>
      <c r="D51" s="12">
        <v>1.4024E-4</v>
      </c>
      <c r="E51" s="12">
        <v>1.5084000000000001E-4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opLeftCell="H1" workbookViewId="0">
      <selection activeCell="T35" sqref="T35"/>
    </sheetView>
  </sheetViews>
  <sheetFormatPr baseColWidth="10" defaultRowHeight="15" x14ac:dyDescent="0.25"/>
  <cols>
    <col min="1" max="1" width="6" bestFit="1" customWidth="1"/>
    <col min="2" max="2" width="9.28515625" style="4" customWidth="1"/>
    <col min="3" max="3" width="3" bestFit="1" customWidth="1"/>
    <col min="4" max="4" width="12.7109375" bestFit="1" customWidth="1"/>
    <col min="5" max="5" width="12" bestFit="1" customWidth="1"/>
    <col min="6" max="6" width="10" style="9" customWidth="1"/>
    <col min="7" max="7" width="3" bestFit="1" customWidth="1"/>
    <col min="8" max="9" width="12" bestFit="1" customWidth="1"/>
    <col min="10" max="10" width="11.42578125" style="9"/>
    <col min="11" max="11" width="2" bestFit="1" customWidth="1"/>
    <col min="12" max="13" width="13.140625" bestFit="1" customWidth="1"/>
    <col min="14" max="14" width="11.42578125" style="9"/>
    <col min="15" max="15" width="2" bestFit="1" customWidth="1"/>
    <col min="16" max="16" width="9.5703125" bestFit="1" customWidth="1"/>
    <col min="17" max="17" width="12.7109375" bestFit="1" customWidth="1"/>
  </cols>
  <sheetData>
    <row r="1" spans="1:17" x14ac:dyDescent="0.25">
      <c r="A1" s="1" t="s">
        <v>0</v>
      </c>
      <c r="B1" s="6" t="s">
        <v>45</v>
      </c>
      <c r="C1" s="7"/>
      <c r="D1" s="10" t="s">
        <v>94</v>
      </c>
      <c r="E1" s="10" t="s">
        <v>95</v>
      </c>
      <c r="F1" s="8" t="s">
        <v>47</v>
      </c>
      <c r="G1" s="7"/>
      <c r="H1" s="10" t="s">
        <v>96</v>
      </c>
      <c r="I1" s="10" t="s">
        <v>97</v>
      </c>
      <c r="J1" s="8" t="s">
        <v>88</v>
      </c>
      <c r="K1" s="7"/>
      <c r="L1" s="11" t="s">
        <v>98</v>
      </c>
      <c r="M1" s="11" t="s">
        <v>99</v>
      </c>
      <c r="N1" s="8" t="s">
        <v>91</v>
      </c>
      <c r="O1" s="7"/>
      <c r="P1" s="11" t="s">
        <v>100</v>
      </c>
      <c r="Q1" s="11" t="s">
        <v>101</v>
      </c>
    </row>
    <row r="2" spans="1:17" x14ac:dyDescent="0.25">
      <c r="A2" s="5">
        <v>0</v>
      </c>
      <c r="B2" s="4" t="s">
        <v>46</v>
      </c>
      <c r="C2">
        <f>FIND(";",B2,1)</f>
        <v>20</v>
      </c>
      <c r="D2">
        <f>VALUE(MID(B2,1,C2-1))</f>
        <v>-2.1922430600000001E-8</v>
      </c>
      <c r="E2">
        <f>VALUE(MID(B2,C2+1,100))</f>
        <v>3.8655160000000001E-9</v>
      </c>
      <c r="F2" s="9" t="s">
        <v>48</v>
      </c>
      <c r="G2">
        <f>FIND(";",F2,1)</f>
        <v>19</v>
      </c>
      <c r="H2">
        <f>VALUE(MID(F2,1,G2-1))</f>
        <v>2.1922430600000001E-8</v>
      </c>
      <c r="I2">
        <f>VALUE(MID(F2,G2+1,100))</f>
        <v>3.8655160000000001E-9</v>
      </c>
      <c r="J2" s="9" t="s">
        <v>89</v>
      </c>
      <c r="K2">
        <f>FIND(";",J2,1)</f>
        <v>2</v>
      </c>
      <c r="L2">
        <f>VALUE(MID(J2,1,K2-1))</f>
        <v>0</v>
      </c>
      <c r="M2">
        <f>VALUE(MID(J2,K2+1,100))</f>
        <v>2.2260619400000001E-8</v>
      </c>
      <c r="N2" s="9" t="s">
        <v>92</v>
      </c>
      <c r="O2">
        <f>FIND(";",N2,1)</f>
        <v>2</v>
      </c>
      <c r="P2">
        <f>VALUE(MID(N2,1,O2-1))</f>
        <v>0</v>
      </c>
      <c r="Q2">
        <f>VALUE(MID(N2,O2+1,100))</f>
        <v>-1.76899212E-8</v>
      </c>
    </row>
    <row r="3" spans="1:17" x14ac:dyDescent="0.25">
      <c r="A3" s="5">
        <v>1</v>
      </c>
      <c r="B3" s="4" t="s">
        <v>5</v>
      </c>
      <c r="C3">
        <f t="shared" ref="C3:C51" si="0">FIND(";",B3,1)</f>
        <v>22</v>
      </c>
      <c r="D3">
        <f t="shared" ref="D3:D51" si="1">VALUE(MID(B3,1,C3-1))</f>
        <v>-4.5097970999999998E-10</v>
      </c>
      <c r="E3">
        <f t="shared" ref="E3:E51" si="2">VALUE(MID(B3,C3+1,100))</f>
        <v>7.9519890700000005E-11</v>
      </c>
      <c r="F3" s="9" t="s">
        <v>49</v>
      </c>
      <c r="G3">
        <f t="shared" ref="G3:G51" si="3">FIND(";",F3,1)</f>
        <v>21</v>
      </c>
      <c r="H3">
        <f t="shared" ref="H3:H51" si="4">VALUE(MID(F3,1,G3-1))</f>
        <v>4.5097970999999998E-10</v>
      </c>
      <c r="I3">
        <f t="shared" ref="I3:I51" si="5">VALUE(MID(F3,G3+1,100))</f>
        <v>7.9519890700000005E-11</v>
      </c>
      <c r="J3" s="9" t="s">
        <v>90</v>
      </c>
      <c r="K3">
        <f t="shared" ref="K3:K51" si="6">FIND(";",J3,1)</f>
        <v>2</v>
      </c>
      <c r="L3">
        <f t="shared" ref="L3:L51" si="7">VALUE(MID(J3,1,K3-1))</f>
        <v>0</v>
      </c>
      <c r="M3">
        <f t="shared" ref="M3:M51" si="8">VALUE(MID(J3,K3+1,100))</f>
        <v>4.5793679899999999E-10</v>
      </c>
      <c r="N3" s="9" t="s">
        <v>93</v>
      </c>
      <c r="O3">
        <f t="shared" ref="O3:O51" si="9">FIND(";",N3,1)</f>
        <v>2</v>
      </c>
      <c r="P3">
        <f t="shared" ref="P3:P51" si="10">VALUE(MID(N3,1,O3-1))</f>
        <v>0</v>
      </c>
      <c r="Q3">
        <f t="shared" ref="Q3:Q51" si="11">VALUE(MID(N3,O3+1,100))</f>
        <v>-9.1695354799999998E-11</v>
      </c>
    </row>
    <row r="4" spans="1:17" x14ac:dyDescent="0.25">
      <c r="A4" s="5">
        <v>2</v>
      </c>
      <c r="B4" s="4" t="s">
        <v>6</v>
      </c>
      <c r="C4">
        <f t="shared" si="0"/>
        <v>2</v>
      </c>
      <c r="D4">
        <f t="shared" si="1"/>
        <v>0</v>
      </c>
      <c r="E4">
        <f t="shared" si="2"/>
        <v>0</v>
      </c>
      <c r="F4" s="9" t="s">
        <v>6</v>
      </c>
      <c r="G4">
        <f t="shared" si="3"/>
        <v>2</v>
      </c>
      <c r="H4">
        <f t="shared" si="4"/>
        <v>0</v>
      </c>
      <c r="I4">
        <f t="shared" si="5"/>
        <v>0</v>
      </c>
      <c r="J4" s="9" t="s">
        <v>6</v>
      </c>
      <c r="K4">
        <f t="shared" si="6"/>
        <v>2</v>
      </c>
      <c r="L4">
        <f t="shared" si="7"/>
        <v>0</v>
      </c>
      <c r="M4">
        <f t="shared" si="8"/>
        <v>0</v>
      </c>
      <c r="N4" s="9" t="s">
        <v>6</v>
      </c>
      <c r="O4">
        <f t="shared" si="9"/>
        <v>2</v>
      </c>
      <c r="P4">
        <f t="shared" si="10"/>
        <v>0</v>
      </c>
      <c r="Q4">
        <f t="shared" si="11"/>
        <v>0</v>
      </c>
    </row>
    <row r="5" spans="1:17" x14ac:dyDescent="0.25">
      <c r="A5" s="5">
        <v>3</v>
      </c>
      <c r="B5" s="4" t="s">
        <v>6</v>
      </c>
      <c r="C5">
        <f t="shared" si="0"/>
        <v>2</v>
      </c>
      <c r="D5">
        <f t="shared" si="1"/>
        <v>0</v>
      </c>
      <c r="E5">
        <f t="shared" si="2"/>
        <v>0</v>
      </c>
      <c r="F5" s="9" t="s">
        <v>6</v>
      </c>
      <c r="G5">
        <f t="shared" si="3"/>
        <v>2</v>
      </c>
      <c r="H5">
        <f t="shared" si="4"/>
        <v>0</v>
      </c>
      <c r="I5">
        <f t="shared" si="5"/>
        <v>0</v>
      </c>
      <c r="J5" s="9" t="s">
        <v>6</v>
      </c>
      <c r="K5">
        <f t="shared" si="6"/>
        <v>2</v>
      </c>
      <c r="L5">
        <f t="shared" si="7"/>
        <v>0</v>
      </c>
      <c r="M5">
        <f t="shared" si="8"/>
        <v>0</v>
      </c>
      <c r="N5" s="9" t="s">
        <v>6</v>
      </c>
      <c r="O5">
        <f t="shared" si="9"/>
        <v>2</v>
      </c>
      <c r="P5">
        <f t="shared" si="10"/>
        <v>0</v>
      </c>
      <c r="Q5">
        <f t="shared" si="11"/>
        <v>0</v>
      </c>
    </row>
    <row r="6" spans="1:17" x14ac:dyDescent="0.25">
      <c r="A6" s="5">
        <v>4</v>
      </c>
      <c r="B6" s="4" t="s">
        <v>6</v>
      </c>
      <c r="C6">
        <f t="shared" si="0"/>
        <v>2</v>
      </c>
      <c r="D6">
        <f t="shared" si="1"/>
        <v>0</v>
      </c>
      <c r="E6">
        <f t="shared" si="2"/>
        <v>0</v>
      </c>
      <c r="F6" s="9" t="s">
        <v>6</v>
      </c>
      <c r="G6">
        <f t="shared" si="3"/>
        <v>2</v>
      </c>
      <c r="H6">
        <f t="shared" si="4"/>
        <v>0</v>
      </c>
      <c r="I6">
        <f t="shared" si="5"/>
        <v>0</v>
      </c>
      <c r="J6" s="9" t="s">
        <v>6</v>
      </c>
      <c r="K6">
        <f t="shared" si="6"/>
        <v>2</v>
      </c>
      <c r="L6">
        <f t="shared" si="7"/>
        <v>0</v>
      </c>
      <c r="M6">
        <f t="shared" si="8"/>
        <v>0</v>
      </c>
      <c r="N6" s="9" t="s">
        <v>6</v>
      </c>
      <c r="O6">
        <f t="shared" si="9"/>
        <v>2</v>
      </c>
      <c r="P6">
        <f t="shared" si="10"/>
        <v>0</v>
      </c>
      <c r="Q6">
        <f t="shared" si="11"/>
        <v>0</v>
      </c>
    </row>
    <row r="7" spans="1:17" x14ac:dyDescent="0.25">
      <c r="A7" s="5">
        <v>5</v>
      </c>
      <c r="B7" s="4" t="s">
        <v>6</v>
      </c>
      <c r="C7">
        <f t="shared" si="0"/>
        <v>2</v>
      </c>
      <c r="D7">
        <f t="shared" si="1"/>
        <v>0</v>
      </c>
      <c r="E7">
        <f t="shared" si="2"/>
        <v>0</v>
      </c>
      <c r="F7" s="9" t="s">
        <v>6</v>
      </c>
      <c r="G7">
        <f t="shared" si="3"/>
        <v>2</v>
      </c>
      <c r="H7">
        <f t="shared" si="4"/>
        <v>0</v>
      </c>
      <c r="I7">
        <f t="shared" si="5"/>
        <v>0</v>
      </c>
      <c r="J7" s="9" t="s">
        <v>6</v>
      </c>
      <c r="K7">
        <f t="shared" si="6"/>
        <v>2</v>
      </c>
      <c r="L7">
        <f t="shared" si="7"/>
        <v>0</v>
      </c>
      <c r="M7">
        <f t="shared" si="8"/>
        <v>0</v>
      </c>
      <c r="N7" s="9" t="s">
        <v>6</v>
      </c>
      <c r="O7">
        <f t="shared" si="9"/>
        <v>2</v>
      </c>
      <c r="P7">
        <f t="shared" si="10"/>
        <v>0</v>
      </c>
      <c r="Q7">
        <f t="shared" si="11"/>
        <v>0</v>
      </c>
    </row>
    <row r="8" spans="1:17" x14ac:dyDescent="0.25">
      <c r="A8" s="5">
        <v>6</v>
      </c>
      <c r="B8" s="4" t="s">
        <v>6</v>
      </c>
      <c r="C8">
        <f t="shared" si="0"/>
        <v>2</v>
      </c>
      <c r="D8">
        <f t="shared" si="1"/>
        <v>0</v>
      </c>
      <c r="E8">
        <f t="shared" si="2"/>
        <v>0</v>
      </c>
      <c r="F8" s="9" t="s">
        <v>6</v>
      </c>
      <c r="G8">
        <f t="shared" si="3"/>
        <v>2</v>
      </c>
      <c r="H8">
        <f t="shared" si="4"/>
        <v>0</v>
      </c>
      <c r="I8">
        <f t="shared" si="5"/>
        <v>0</v>
      </c>
      <c r="J8" s="9" t="s">
        <v>6</v>
      </c>
      <c r="K8">
        <f t="shared" si="6"/>
        <v>2</v>
      </c>
      <c r="L8">
        <f t="shared" si="7"/>
        <v>0</v>
      </c>
      <c r="M8">
        <f t="shared" si="8"/>
        <v>0</v>
      </c>
      <c r="N8" s="9" t="s">
        <v>6</v>
      </c>
      <c r="O8">
        <f t="shared" si="9"/>
        <v>2</v>
      </c>
      <c r="P8">
        <f t="shared" si="10"/>
        <v>0</v>
      </c>
      <c r="Q8">
        <f t="shared" si="11"/>
        <v>0</v>
      </c>
    </row>
    <row r="9" spans="1:17" x14ac:dyDescent="0.25">
      <c r="A9" s="5">
        <v>7</v>
      </c>
      <c r="B9" s="4" t="s">
        <v>7</v>
      </c>
      <c r="C9">
        <f t="shared" si="0"/>
        <v>24</v>
      </c>
      <c r="D9">
        <f t="shared" si="1"/>
        <v>-7.7595381399999995E-12</v>
      </c>
      <c r="E9">
        <f t="shared" si="2"/>
        <v>1.3682159299999999E-12</v>
      </c>
      <c r="F9" s="9" t="s">
        <v>50</v>
      </c>
      <c r="G9">
        <f t="shared" si="3"/>
        <v>23</v>
      </c>
      <c r="H9">
        <f t="shared" si="4"/>
        <v>7.7595381399999995E-12</v>
      </c>
      <c r="I9">
        <f t="shared" si="5"/>
        <v>1.3682159299999999E-12</v>
      </c>
      <c r="J9" s="9" t="s">
        <v>6</v>
      </c>
      <c r="K9">
        <f t="shared" si="6"/>
        <v>2</v>
      </c>
      <c r="L9">
        <f t="shared" si="7"/>
        <v>0</v>
      </c>
      <c r="M9">
        <f t="shared" si="8"/>
        <v>0</v>
      </c>
      <c r="N9" s="9" t="s">
        <v>6</v>
      </c>
      <c r="O9">
        <f t="shared" si="9"/>
        <v>2</v>
      </c>
      <c r="P9">
        <f t="shared" si="10"/>
        <v>0</v>
      </c>
      <c r="Q9">
        <f t="shared" si="11"/>
        <v>0</v>
      </c>
    </row>
    <row r="10" spans="1:17" x14ac:dyDescent="0.25">
      <c r="A10" s="5">
        <v>8</v>
      </c>
      <c r="B10" s="4" t="s">
        <v>8</v>
      </c>
      <c r="C10">
        <f t="shared" si="0"/>
        <v>21</v>
      </c>
      <c r="D10">
        <f t="shared" si="1"/>
        <v>-1.1424685100000001E-9</v>
      </c>
      <c r="E10">
        <f t="shared" si="2"/>
        <v>2.0144802299999999E-10</v>
      </c>
      <c r="F10" s="9" t="s">
        <v>51</v>
      </c>
      <c r="G10">
        <f t="shared" si="3"/>
        <v>20</v>
      </c>
      <c r="H10">
        <f t="shared" si="4"/>
        <v>1.1424685100000001E-9</v>
      </c>
      <c r="I10">
        <f t="shared" si="5"/>
        <v>2.0144802299999999E-10</v>
      </c>
      <c r="J10" s="9" t="s">
        <v>6</v>
      </c>
      <c r="K10">
        <f t="shared" si="6"/>
        <v>2</v>
      </c>
      <c r="L10">
        <f t="shared" si="7"/>
        <v>0</v>
      </c>
      <c r="M10">
        <f t="shared" si="8"/>
        <v>0</v>
      </c>
      <c r="N10" s="9" t="s">
        <v>6</v>
      </c>
      <c r="O10">
        <f t="shared" si="9"/>
        <v>2</v>
      </c>
      <c r="P10">
        <f t="shared" si="10"/>
        <v>0</v>
      </c>
      <c r="Q10">
        <f t="shared" si="11"/>
        <v>0</v>
      </c>
    </row>
    <row r="11" spans="1:17" x14ac:dyDescent="0.25">
      <c r="A11" s="5">
        <v>9</v>
      </c>
      <c r="B11" s="4" t="s">
        <v>9</v>
      </c>
      <c r="C11">
        <f t="shared" si="0"/>
        <v>20</v>
      </c>
      <c r="D11">
        <f t="shared" si="1"/>
        <v>-4.2880595799999999E-8</v>
      </c>
      <c r="E11">
        <f t="shared" si="2"/>
        <v>7.5610059999999993E-9</v>
      </c>
      <c r="F11" s="9" t="s">
        <v>52</v>
      </c>
      <c r="G11">
        <f t="shared" si="3"/>
        <v>19</v>
      </c>
      <c r="H11">
        <f t="shared" si="4"/>
        <v>4.2880595799999999E-8</v>
      </c>
      <c r="I11">
        <f t="shared" si="5"/>
        <v>7.5610059999999993E-9</v>
      </c>
      <c r="J11" s="9" t="s">
        <v>6</v>
      </c>
      <c r="K11">
        <f t="shared" si="6"/>
        <v>2</v>
      </c>
      <c r="L11">
        <f t="shared" si="7"/>
        <v>0</v>
      </c>
      <c r="M11">
        <f t="shared" si="8"/>
        <v>0</v>
      </c>
      <c r="N11" s="9" t="s">
        <v>6</v>
      </c>
      <c r="O11">
        <f t="shared" si="9"/>
        <v>2</v>
      </c>
      <c r="P11">
        <f t="shared" si="10"/>
        <v>0</v>
      </c>
      <c r="Q11">
        <f t="shared" si="11"/>
        <v>0</v>
      </c>
    </row>
    <row r="12" spans="1:17" x14ac:dyDescent="0.25">
      <c r="A12" s="5">
        <v>10</v>
      </c>
      <c r="B12" s="4" t="s">
        <v>10</v>
      </c>
      <c r="C12">
        <f t="shared" si="0"/>
        <v>19</v>
      </c>
      <c r="D12">
        <f t="shared" si="1"/>
        <v>-1.38270318E-7</v>
      </c>
      <c r="E12">
        <f t="shared" si="2"/>
        <v>2.43807878E-8</v>
      </c>
      <c r="F12" s="9" t="s">
        <v>53</v>
      </c>
      <c r="G12">
        <f t="shared" si="3"/>
        <v>18</v>
      </c>
      <c r="H12">
        <f t="shared" si="4"/>
        <v>1.38270318E-7</v>
      </c>
      <c r="I12">
        <f t="shared" si="5"/>
        <v>2.43807878E-8</v>
      </c>
      <c r="J12" s="9" t="s">
        <v>6</v>
      </c>
      <c r="K12">
        <f t="shared" si="6"/>
        <v>2</v>
      </c>
      <c r="L12">
        <f t="shared" si="7"/>
        <v>0</v>
      </c>
      <c r="M12">
        <f t="shared" si="8"/>
        <v>0</v>
      </c>
      <c r="N12" s="9" t="s">
        <v>6</v>
      </c>
      <c r="O12">
        <f t="shared" si="9"/>
        <v>2</v>
      </c>
      <c r="P12">
        <f t="shared" si="10"/>
        <v>0</v>
      </c>
      <c r="Q12">
        <f t="shared" si="11"/>
        <v>0</v>
      </c>
    </row>
    <row r="13" spans="1:17" x14ac:dyDescent="0.25">
      <c r="A13" s="5">
        <v>11</v>
      </c>
      <c r="B13" s="4" t="s">
        <v>11</v>
      </c>
      <c r="C13">
        <f t="shared" si="0"/>
        <v>19</v>
      </c>
      <c r="D13">
        <f t="shared" si="1"/>
        <v>-2.4410331799999999E-7</v>
      </c>
      <c r="E13">
        <f t="shared" si="2"/>
        <v>4.3042001100000001E-8</v>
      </c>
      <c r="F13" s="9" t="s">
        <v>54</v>
      </c>
      <c r="G13">
        <f t="shared" si="3"/>
        <v>18</v>
      </c>
      <c r="H13">
        <f t="shared" si="4"/>
        <v>2.4410331799999999E-7</v>
      </c>
      <c r="I13">
        <f t="shared" si="5"/>
        <v>4.3042001100000001E-8</v>
      </c>
      <c r="J13" s="9" t="s">
        <v>6</v>
      </c>
      <c r="K13">
        <f t="shared" si="6"/>
        <v>2</v>
      </c>
      <c r="L13">
        <f t="shared" si="7"/>
        <v>0</v>
      </c>
      <c r="M13">
        <f t="shared" si="8"/>
        <v>0</v>
      </c>
      <c r="N13" s="9" t="s">
        <v>6</v>
      </c>
      <c r="O13">
        <f t="shared" si="9"/>
        <v>2</v>
      </c>
      <c r="P13">
        <f t="shared" si="10"/>
        <v>0</v>
      </c>
      <c r="Q13">
        <f t="shared" si="11"/>
        <v>0</v>
      </c>
    </row>
    <row r="14" spans="1:17" x14ac:dyDescent="0.25">
      <c r="A14" s="5">
        <v>12</v>
      </c>
      <c r="B14" s="4" t="s">
        <v>12</v>
      </c>
      <c r="C14">
        <f t="shared" si="0"/>
        <v>19</v>
      </c>
      <c r="D14">
        <f t="shared" si="1"/>
        <v>-5.9282741099999997E-7</v>
      </c>
      <c r="E14">
        <f t="shared" si="2"/>
        <v>1.04531467E-7</v>
      </c>
      <c r="F14" s="9" t="s">
        <v>55</v>
      </c>
      <c r="G14">
        <f t="shared" si="3"/>
        <v>18</v>
      </c>
      <c r="H14">
        <f t="shared" si="4"/>
        <v>5.9282741099999997E-7</v>
      </c>
      <c r="I14">
        <f t="shared" si="5"/>
        <v>1.04531467E-7</v>
      </c>
      <c r="J14" s="9" t="s">
        <v>6</v>
      </c>
      <c r="K14">
        <f t="shared" si="6"/>
        <v>2</v>
      </c>
      <c r="L14">
        <f t="shared" si="7"/>
        <v>0</v>
      </c>
      <c r="M14">
        <f t="shared" si="8"/>
        <v>0</v>
      </c>
      <c r="N14" s="9" t="s">
        <v>6</v>
      </c>
      <c r="O14">
        <f t="shared" si="9"/>
        <v>2</v>
      </c>
      <c r="P14">
        <f t="shared" si="10"/>
        <v>0</v>
      </c>
      <c r="Q14">
        <f t="shared" si="11"/>
        <v>0</v>
      </c>
    </row>
    <row r="15" spans="1:17" x14ac:dyDescent="0.25">
      <c r="A15" s="5">
        <v>13</v>
      </c>
      <c r="B15" s="4" t="s">
        <v>13</v>
      </c>
      <c r="C15">
        <f t="shared" si="0"/>
        <v>18</v>
      </c>
      <c r="D15">
        <f t="shared" si="1"/>
        <v>-1.4429714E-6</v>
      </c>
      <c r="E15">
        <f t="shared" si="2"/>
        <v>2.5443478999999999E-7</v>
      </c>
      <c r="F15" s="9" t="s">
        <v>56</v>
      </c>
      <c r="G15">
        <f t="shared" si="3"/>
        <v>17</v>
      </c>
      <c r="H15">
        <f t="shared" si="4"/>
        <v>1.4429714E-6</v>
      </c>
      <c r="I15">
        <f t="shared" si="5"/>
        <v>2.5443478999999999E-7</v>
      </c>
      <c r="J15" s="9" t="s">
        <v>6</v>
      </c>
      <c r="K15">
        <f t="shared" si="6"/>
        <v>2</v>
      </c>
      <c r="L15">
        <f t="shared" si="7"/>
        <v>0</v>
      </c>
      <c r="M15">
        <f t="shared" si="8"/>
        <v>0</v>
      </c>
      <c r="N15" s="9" t="s">
        <v>6</v>
      </c>
      <c r="O15">
        <f t="shared" si="9"/>
        <v>2</v>
      </c>
      <c r="P15">
        <f t="shared" si="10"/>
        <v>0</v>
      </c>
      <c r="Q15">
        <f t="shared" si="11"/>
        <v>0</v>
      </c>
    </row>
    <row r="16" spans="1:17" x14ac:dyDescent="0.25">
      <c r="A16" s="5">
        <v>14</v>
      </c>
      <c r="B16" s="4" t="s">
        <v>14</v>
      </c>
      <c r="C16">
        <f t="shared" si="0"/>
        <v>18</v>
      </c>
      <c r="D16">
        <f t="shared" si="1"/>
        <v>-3.4097446500000001E-6</v>
      </c>
      <c r="E16">
        <f t="shared" si="2"/>
        <v>6.0122997899999997E-7</v>
      </c>
      <c r="F16" s="9" t="s">
        <v>57</v>
      </c>
      <c r="G16">
        <f t="shared" si="3"/>
        <v>17</v>
      </c>
      <c r="H16">
        <f t="shared" si="4"/>
        <v>3.4097446500000001E-6</v>
      </c>
      <c r="I16">
        <f t="shared" si="5"/>
        <v>6.0122997899999997E-7</v>
      </c>
      <c r="J16" s="9" t="s">
        <v>6</v>
      </c>
      <c r="K16">
        <f t="shared" si="6"/>
        <v>2</v>
      </c>
      <c r="L16">
        <f t="shared" si="7"/>
        <v>0</v>
      </c>
      <c r="M16">
        <f t="shared" si="8"/>
        <v>0</v>
      </c>
      <c r="N16" s="9" t="s">
        <v>6</v>
      </c>
      <c r="O16">
        <f t="shared" si="9"/>
        <v>2</v>
      </c>
      <c r="P16">
        <f t="shared" si="10"/>
        <v>0</v>
      </c>
      <c r="Q16">
        <f t="shared" si="11"/>
        <v>0</v>
      </c>
    </row>
    <row r="17" spans="1:17" x14ac:dyDescent="0.25">
      <c r="A17" s="5">
        <v>15</v>
      </c>
      <c r="B17" s="4" t="s">
        <v>15</v>
      </c>
      <c r="C17">
        <f t="shared" si="0"/>
        <v>18</v>
      </c>
      <c r="D17">
        <f t="shared" si="1"/>
        <v>-7.6745252499999999E-6</v>
      </c>
      <c r="E17">
        <f t="shared" si="2"/>
        <v>1.3532258700000001E-6</v>
      </c>
      <c r="F17" s="9" t="s">
        <v>58</v>
      </c>
      <c r="G17">
        <f t="shared" si="3"/>
        <v>17</v>
      </c>
      <c r="H17">
        <f t="shared" si="4"/>
        <v>7.6745252499999999E-6</v>
      </c>
      <c r="I17">
        <f t="shared" si="5"/>
        <v>1.3532258700000001E-6</v>
      </c>
      <c r="J17" s="9" t="s">
        <v>6</v>
      </c>
      <c r="K17">
        <f t="shared" si="6"/>
        <v>2</v>
      </c>
      <c r="L17">
        <f t="shared" si="7"/>
        <v>0</v>
      </c>
      <c r="M17">
        <f t="shared" si="8"/>
        <v>0</v>
      </c>
      <c r="N17" s="9" t="s">
        <v>6</v>
      </c>
      <c r="O17">
        <f t="shared" si="9"/>
        <v>2</v>
      </c>
      <c r="P17">
        <f t="shared" si="10"/>
        <v>0</v>
      </c>
      <c r="Q17">
        <f t="shared" si="11"/>
        <v>0</v>
      </c>
    </row>
    <row r="18" spans="1:17" x14ac:dyDescent="0.25">
      <c r="A18" s="5">
        <v>16</v>
      </c>
      <c r="B18" s="4" t="s">
        <v>16</v>
      </c>
      <c r="C18">
        <f t="shared" si="0"/>
        <v>17</v>
      </c>
      <c r="D18">
        <f t="shared" si="1"/>
        <v>-1.6247391600000001E-5</v>
      </c>
      <c r="E18">
        <f t="shared" si="2"/>
        <v>2.86485351E-6</v>
      </c>
      <c r="F18" s="9" t="s">
        <v>59</v>
      </c>
      <c r="G18">
        <f t="shared" si="3"/>
        <v>16</v>
      </c>
      <c r="H18">
        <f t="shared" si="4"/>
        <v>1.6247391600000001E-5</v>
      </c>
      <c r="I18">
        <f t="shared" si="5"/>
        <v>2.86485351E-6</v>
      </c>
      <c r="J18" s="9" t="s">
        <v>6</v>
      </c>
      <c r="K18">
        <f t="shared" si="6"/>
        <v>2</v>
      </c>
      <c r="L18">
        <f t="shared" si="7"/>
        <v>0</v>
      </c>
      <c r="M18">
        <f t="shared" si="8"/>
        <v>0</v>
      </c>
      <c r="N18" s="9" t="s">
        <v>6</v>
      </c>
      <c r="O18">
        <f t="shared" si="9"/>
        <v>2</v>
      </c>
      <c r="P18">
        <f t="shared" si="10"/>
        <v>0</v>
      </c>
      <c r="Q18">
        <f t="shared" si="11"/>
        <v>0</v>
      </c>
    </row>
    <row r="19" spans="1:17" x14ac:dyDescent="0.25">
      <c r="A19" s="5">
        <v>17</v>
      </c>
      <c r="B19" s="4" t="s">
        <v>17</v>
      </c>
      <c r="C19">
        <f t="shared" si="0"/>
        <v>17</v>
      </c>
      <c r="D19">
        <f t="shared" si="1"/>
        <v>-3.2095029999999999E-5</v>
      </c>
      <c r="E19">
        <f t="shared" si="2"/>
        <v>5.65921974E-6</v>
      </c>
      <c r="F19" s="9" t="s">
        <v>60</v>
      </c>
      <c r="G19">
        <f t="shared" si="3"/>
        <v>16</v>
      </c>
      <c r="H19">
        <f t="shared" si="4"/>
        <v>3.2095029999999999E-5</v>
      </c>
      <c r="I19">
        <f t="shared" si="5"/>
        <v>5.65921974E-6</v>
      </c>
      <c r="J19" s="9" t="s">
        <v>6</v>
      </c>
      <c r="K19">
        <f t="shared" si="6"/>
        <v>2</v>
      </c>
      <c r="L19">
        <f t="shared" si="7"/>
        <v>0</v>
      </c>
      <c r="M19">
        <f t="shared" si="8"/>
        <v>0</v>
      </c>
      <c r="N19" s="9" t="s">
        <v>6</v>
      </c>
      <c r="O19">
        <f t="shared" si="9"/>
        <v>2</v>
      </c>
      <c r="P19">
        <f t="shared" si="10"/>
        <v>0</v>
      </c>
      <c r="Q19">
        <f t="shared" si="11"/>
        <v>0</v>
      </c>
    </row>
    <row r="20" spans="1:17" x14ac:dyDescent="0.25">
      <c r="A20" s="5">
        <v>18</v>
      </c>
      <c r="B20" s="4" t="s">
        <v>18</v>
      </c>
      <c r="C20">
        <f t="shared" si="0"/>
        <v>17</v>
      </c>
      <c r="D20">
        <f t="shared" si="1"/>
        <v>-5.8845820799999999E-5</v>
      </c>
      <c r="E20">
        <f t="shared" si="2"/>
        <v>1.03761059E-5</v>
      </c>
      <c r="F20" s="9" t="s">
        <v>61</v>
      </c>
      <c r="G20">
        <f t="shared" si="3"/>
        <v>16</v>
      </c>
      <c r="H20">
        <f t="shared" si="4"/>
        <v>5.8845820799999999E-5</v>
      </c>
      <c r="I20">
        <f t="shared" si="5"/>
        <v>1.03761059E-5</v>
      </c>
      <c r="J20" s="9" t="s">
        <v>6</v>
      </c>
      <c r="K20">
        <f t="shared" si="6"/>
        <v>2</v>
      </c>
      <c r="L20">
        <f t="shared" si="7"/>
        <v>0</v>
      </c>
      <c r="M20">
        <f t="shared" si="8"/>
        <v>0</v>
      </c>
      <c r="N20" s="9" t="s">
        <v>6</v>
      </c>
      <c r="O20">
        <f t="shared" si="9"/>
        <v>2</v>
      </c>
      <c r="P20">
        <f t="shared" si="10"/>
        <v>0</v>
      </c>
      <c r="Q20">
        <f t="shared" si="11"/>
        <v>0</v>
      </c>
    </row>
    <row r="21" spans="1:17" x14ac:dyDescent="0.25">
      <c r="A21" s="5">
        <v>19</v>
      </c>
      <c r="B21" s="4" t="s">
        <v>19</v>
      </c>
      <c r="C21">
        <f t="shared" si="0"/>
        <v>17</v>
      </c>
      <c r="D21">
        <f t="shared" si="1"/>
        <v>-9.9758445499999998E-5</v>
      </c>
      <c r="E21">
        <f t="shared" si="2"/>
        <v>1.7590105500000001E-5</v>
      </c>
      <c r="F21" s="9" t="s">
        <v>62</v>
      </c>
      <c r="G21">
        <f t="shared" si="3"/>
        <v>16</v>
      </c>
      <c r="H21">
        <f t="shared" si="4"/>
        <v>9.9758445499999998E-5</v>
      </c>
      <c r="I21">
        <f t="shared" si="5"/>
        <v>1.7590105500000001E-5</v>
      </c>
      <c r="J21" s="9" t="s">
        <v>6</v>
      </c>
      <c r="K21">
        <f t="shared" si="6"/>
        <v>2</v>
      </c>
      <c r="L21">
        <f t="shared" si="7"/>
        <v>0</v>
      </c>
      <c r="M21">
        <f t="shared" si="8"/>
        <v>0</v>
      </c>
      <c r="N21" s="9" t="s">
        <v>6</v>
      </c>
      <c r="O21">
        <f t="shared" si="9"/>
        <v>2</v>
      </c>
      <c r="P21">
        <f t="shared" si="10"/>
        <v>0</v>
      </c>
      <c r="Q21">
        <f t="shared" si="11"/>
        <v>0</v>
      </c>
    </row>
    <row r="22" spans="1:17" x14ac:dyDescent="0.25">
      <c r="A22" s="5">
        <v>20</v>
      </c>
      <c r="B22" s="4" t="s">
        <v>20</v>
      </c>
      <c r="C22">
        <f t="shared" si="0"/>
        <v>16</v>
      </c>
      <c r="D22">
        <f t="shared" si="1"/>
        <v>-1.55881568E-4</v>
      </c>
      <c r="E22">
        <f t="shared" si="2"/>
        <v>2.7486126199999999E-5</v>
      </c>
      <c r="F22" s="9" t="s">
        <v>63</v>
      </c>
      <c r="G22">
        <f t="shared" si="3"/>
        <v>15</v>
      </c>
      <c r="H22">
        <f t="shared" si="4"/>
        <v>1.55881568E-4</v>
      </c>
      <c r="I22">
        <f t="shared" si="5"/>
        <v>2.7486126199999999E-5</v>
      </c>
      <c r="J22" s="9" t="s">
        <v>6</v>
      </c>
      <c r="K22">
        <f t="shared" si="6"/>
        <v>2</v>
      </c>
      <c r="L22">
        <f t="shared" si="7"/>
        <v>0</v>
      </c>
      <c r="M22">
        <f t="shared" si="8"/>
        <v>0</v>
      </c>
      <c r="N22" s="9" t="s">
        <v>6</v>
      </c>
      <c r="O22">
        <f t="shared" si="9"/>
        <v>2</v>
      </c>
      <c r="P22">
        <f t="shared" si="10"/>
        <v>0</v>
      </c>
      <c r="Q22">
        <f t="shared" si="11"/>
        <v>0</v>
      </c>
    </row>
    <row r="23" spans="1:17" x14ac:dyDescent="0.25">
      <c r="A23" s="5">
        <v>21</v>
      </c>
      <c r="B23" s="4" t="s">
        <v>21</v>
      </c>
      <c r="C23">
        <f t="shared" si="0"/>
        <v>16</v>
      </c>
      <c r="D23">
        <f t="shared" si="1"/>
        <v>-2.23925362E-4</v>
      </c>
      <c r="E23">
        <f t="shared" si="2"/>
        <v>3.9484082999999997E-5</v>
      </c>
      <c r="F23" s="9" t="s">
        <v>64</v>
      </c>
      <c r="G23">
        <f t="shared" si="3"/>
        <v>15</v>
      </c>
      <c r="H23">
        <f t="shared" si="4"/>
        <v>2.23925362E-4</v>
      </c>
      <c r="I23">
        <f t="shared" si="5"/>
        <v>3.9484082999999997E-5</v>
      </c>
      <c r="J23" s="9" t="s">
        <v>6</v>
      </c>
      <c r="K23">
        <f t="shared" si="6"/>
        <v>2</v>
      </c>
      <c r="L23">
        <f t="shared" si="7"/>
        <v>0</v>
      </c>
      <c r="M23">
        <f t="shared" si="8"/>
        <v>0</v>
      </c>
      <c r="N23" s="9" t="s">
        <v>6</v>
      </c>
      <c r="O23">
        <f t="shared" si="9"/>
        <v>2</v>
      </c>
      <c r="P23">
        <f t="shared" si="10"/>
        <v>0</v>
      </c>
      <c r="Q23">
        <f t="shared" si="11"/>
        <v>0</v>
      </c>
    </row>
    <row r="24" spans="1:17" x14ac:dyDescent="0.25">
      <c r="A24" s="5">
        <v>22</v>
      </c>
      <c r="B24" s="4" t="s">
        <v>22</v>
      </c>
      <c r="C24">
        <f t="shared" si="0"/>
        <v>16</v>
      </c>
      <c r="D24">
        <f t="shared" si="1"/>
        <v>-2.9506103299999998E-4</v>
      </c>
      <c r="E24">
        <f t="shared" si="2"/>
        <v>5.2027221E-5</v>
      </c>
      <c r="F24" s="9" t="s">
        <v>65</v>
      </c>
      <c r="G24">
        <f t="shared" si="3"/>
        <v>15</v>
      </c>
      <c r="H24">
        <f t="shared" si="4"/>
        <v>2.9506103299999998E-4</v>
      </c>
      <c r="I24">
        <f t="shared" si="5"/>
        <v>5.2027221E-5</v>
      </c>
      <c r="J24" s="9" t="s">
        <v>6</v>
      </c>
      <c r="K24">
        <f t="shared" si="6"/>
        <v>2</v>
      </c>
      <c r="L24">
        <f t="shared" si="7"/>
        <v>0</v>
      </c>
      <c r="M24">
        <f t="shared" si="8"/>
        <v>0</v>
      </c>
      <c r="N24" s="9" t="s">
        <v>6</v>
      </c>
      <c r="O24">
        <f t="shared" si="9"/>
        <v>2</v>
      </c>
      <c r="P24">
        <f t="shared" si="10"/>
        <v>0</v>
      </c>
      <c r="Q24">
        <f t="shared" si="11"/>
        <v>0</v>
      </c>
    </row>
    <row r="25" spans="1:17" x14ac:dyDescent="0.25">
      <c r="A25" s="5">
        <v>23</v>
      </c>
      <c r="B25" s="4" t="s">
        <v>23</v>
      </c>
      <c r="C25">
        <f t="shared" si="0"/>
        <v>16</v>
      </c>
      <c r="D25">
        <f t="shared" si="1"/>
        <v>-3.5601621099999998E-4</v>
      </c>
      <c r="E25">
        <f t="shared" si="2"/>
        <v>6.2775263600000004E-5</v>
      </c>
      <c r="F25" s="9" t="s">
        <v>66</v>
      </c>
      <c r="G25">
        <f t="shared" si="3"/>
        <v>15</v>
      </c>
      <c r="H25">
        <f t="shared" si="4"/>
        <v>3.5601621099999998E-4</v>
      </c>
      <c r="I25">
        <f t="shared" si="5"/>
        <v>6.2775263600000004E-5</v>
      </c>
      <c r="J25" s="9" t="s">
        <v>6</v>
      </c>
      <c r="K25">
        <f t="shared" si="6"/>
        <v>2</v>
      </c>
      <c r="L25">
        <f t="shared" si="7"/>
        <v>0</v>
      </c>
      <c r="M25">
        <f t="shared" si="8"/>
        <v>0</v>
      </c>
      <c r="N25" s="9" t="s">
        <v>6</v>
      </c>
      <c r="O25">
        <f t="shared" si="9"/>
        <v>2</v>
      </c>
      <c r="P25">
        <f t="shared" si="10"/>
        <v>0</v>
      </c>
      <c r="Q25">
        <f t="shared" si="11"/>
        <v>0</v>
      </c>
    </row>
    <row r="26" spans="1:17" x14ac:dyDescent="0.25">
      <c r="A26" s="5">
        <v>24</v>
      </c>
      <c r="B26" s="4" t="s">
        <v>24</v>
      </c>
      <c r="C26">
        <f t="shared" si="0"/>
        <v>16</v>
      </c>
      <c r="D26">
        <f t="shared" si="1"/>
        <v>-3.92881442E-4</v>
      </c>
      <c r="E26">
        <f t="shared" si="2"/>
        <v>6.9275598499999997E-5</v>
      </c>
      <c r="F26" s="9" t="s">
        <v>67</v>
      </c>
      <c r="G26">
        <f t="shared" si="3"/>
        <v>15</v>
      </c>
      <c r="H26">
        <f t="shared" si="4"/>
        <v>3.92881442E-4</v>
      </c>
      <c r="I26">
        <f t="shared" si="5"/>
        <v>6.9275598499999997E-5</v>
      </c>
      <c r="J26" s="9" t="s">
        <v>6</v>
      </c>
      <c r="K26">
        <f t="shared" si="6"/>
        <v>2</v>
      </c>
      <c r="L26">
        <f t="shared" si="7"/>
        <v>0</v>
      </c>
      <c r="M26">
        <f t="shared" si="8"/>
        <v>0</v>
      </c>
      <c r="N26" s="9" t="s">
        <v>6</v>
      </c>
      <c r="O26">
        <f t="shared" si="9"/>
        <v>2</v>
      </c>
      <c r="P26">
        <f t="shared" si="10"/>
        <v>0</v>
      </c>
      <c r="Q26">
        <f t="shared" si="11"/>
        <v>0</v>
      </c>
    </row>
    <row r="27" spans="1:17" x14ac:dyDescent="0.25">
      <c r="A27" s="5">
        <v>25</v>
      </c>
      <c r="B27" s="4" t="s">
        <v>25</v>
      </c>
      <c r="C27">
        <f t="shared" si="0"/>
        <v>16</v>
      </c>
      <c r="D27">
        <f t="shared" si="1"/>
        <v>-3.9628451999999998E-4</v>
      </c>
      <c r="E27">
        <f t="shared" si="2"/>
        <v>6.9875652900000006E-5</v>
      </c>
      <c r="F27" s="9" t="s">
        <v>68</v>
      </c>
      <c r="G27">
        <f t="shared" si="3"/>
        <v>15</v>
      </c>
      <c r="H27">
        <f t="shared" si="4"/>
        <v>3.9628451999999998E-4</v>
      </c>
      <c r="I27">
        <f t="shared" si="5"/>
        <v>6.9875652900000006E-5</v>
      </c>
      <c r="J27" s="9" t="s">
        <v>6</v>
      </c>
      <c r="K27">
        <f t="shared" si="6"/>
        <v>2</v>
      </c>
      <c r="L27">
        <f t="shared" si="7"/>
        <v>0</v>
      </c>
      <c r="M27">
        <f t="shared" si="8"/>
        <v>0</v>
      </c>
      <c r="N27" s="9" t="s">
        <v>6</v>
      </c>
      <c r="O27">
        <f t="shared" si="9"/>
        <v>2</v>
      </c>
      <c r="P27">
        <f t="shared" si="10"/>
        <v>0</v>
      </c>
      <c r="Q27">
        <f t="shared" si="11"/>
        <v>0</v>
      </c>
    </row>
    <row r="28" spans="1:17" x14ac:dyDescent="0.25">
      <c r="A28" s="5">
        <v>26</v>
      </c>
      <c r="B28" s="4" t="s">
        <v>26</v>
      </c>
      <c r="C28">
        <f t="shared" si="0"/>
        <v>16</v>
      </c>
      <c r="D28">
        <f t="shared" si="1"/>
        <v>-3.65297379E-4</v>
      </c>
      <c r="E28">
        <f t="shared" si="2"/>
        <v>6.4411783800000005E-5</v>
      </c>
      <c r="F28" s="9" t="s">
        <v>69</v>
      </c>
      <c r="G28">
        <f t="shared" si="3"/>
        <v>15</v>
      </c>
      <c r="H28">
        <f t="shared" si="4"/>
        <v>3.65297379E-4</v>
      </c>
      <c r="I28">
        <f t="shared" si="5"/>
        <v>6.4411783800000005E-5</v>
      </c>
      <c r="J28" s="9" t="s">
        <v>6</v>
      </c>
      <c r="K28">
        <f t="shared" si="6"/>
        <v>2</v>
      </c>
      <c r="L28">
        <f t="shared" si="7"/>
        <v>0</v>
      </c>
      <c r="M28">
        <f t="shared" si="8"/>
        <v>0</v>
      </c>
      <c r="N28" s="9" t="s">
        <v>6</v>
      </c>
      <c r="O28">
        <f t="shared" si="9"/>
        <v>2</v>
      </c>
      <c r="P28">
        <f t="shared" si="10"/>
        <v>0</v>
      </c>
      <c r="Q28">
        <f t="shared" si="11"/>
        <v>0</v>
      </c>
    </row>
    <row r="29" spans="1:17" x14ac:dyDescent="0.25">
      <c r="A29" s="5">
        <v>27</v>
      </c>
      <c r="B29" s="4" t="s">
        <v>27</v>
      </c>
      <c r="C29">
        <f t="shared" si="0"/>
        <v>16</v>
      </c>
      <c r="D29">
        <f t="shared" si="1"/>
        <v>-3.0783740499999999E-4</v>
      </c>
      <c r="E29">
        <f t="shared" si="2"/>
        <v>5.4280040200000001E-5</v>
      </c>
      <c r="F29" s="9" t="s">
        <v>70</v>
      </c>
      <c r="G29">
        <f t="shared" si="3"/>
        <v>15</v>
      </c>
      <c r="H29">
        <f t="shared" si="4"/>
        <v>3.0783740499999999E-4</v>
      </c>
      <c r="I29">
        <f t="shared" si="5"/>
        <v>5.4280040200000001E-5</v>
      </c>
      <c r="J29" s="9" t="s">
        <v>6</v>
      </c>
      <c r="K29">
        <f t="shared" si="6"/>
        <v>2</v>
      </c>
      <c r="L29">
        <f t="shared" si="7"/>
        <v>0</v>
      </c>
      <c r="M29">
        <f t="shared" si="8"/>
        <v>0</v>
      </c>
      <c r="N29" s="9" t="s">
        <v>6</v>
      </c>
      <c r="O29">
        <f t="shared" si="9"/>
        <v>2</v>
      </c>
      <c r="P29">
        <f t="shared" si="10"/>
        <v>0</v>
      </c>
      <c r="Q29">
        <f t="shared" si="11"/>
        <v>0</v>
      </c>
    </row>
    <row r="30" spans="1:17" x14ac:dyDescent="0.25">
      <c r="A30" s="5">
        <v>28</v>
      </c>
      <c r="B30" s="4" t="s">
        <v>28</v>
      </c>
      <c r="C30">
        <f t="shared" si="0"/>
        <v>16</v>
      </c>
      <c r="D30">
        <f t="shared" si="1"/>
        <v>-2.3733575800000001E-4</v>
      </c>
      <c r="E30">
        <f t="shared" si="2"/>
        <v>4.1848697599999999E-5</v>
      </c>
      <c r="F30" s="9" t="s">
        <v>71</v>
      </c>
      <c r="G30">
        <f t="shared" si="3"/>
        <v>15</v>
      </c>
      <c r="H30">
        <f t="shared" si="4"/>
        <v>2.3733575800000001E-4</v>
      </c>
      <c r="I30">
        <f t="shared" si="5"/>
        <v>4.1848697599999999E-5</v>
      </c>
      <c r="J30" s="9" t="s">
        <v>6</v>
      </c>
      <c r="K30">
        <f t="shared" si="6"/>
        <v>2</v>
      </c>
      <c r="L30">
        <f t="shared" si="7"/>
        <v>0</v>
      </c>
      <c r="M30">
        <f t="shared" si="8"/>
        <v>0</v>
      </c>
      <c r="N30" s="9" t="s">
        <v>6</v>
      </c>
      <c r="O30">
        <f t="shared" si="9"/>
        <v>2</v>
      </c>
      <c r="P30">
        <f t="shared" si="10"/>
        <v>0</v>
      </c>
      <c r="Q30">
        <f t="shared" si="11"/>
        <v>0</v>
      </c>
    </row>
    <row r="31" spans="1:17" x14ac:dyDescent="0.25">
      <c r="A31" s="5">
        <v>29</v>
      </c>
      <c r="B31" s="4" t="s">
        <v>29</v>
      </c>
      <c r="C31">
        <f t="shared" si="0"/>
        <v>16</v>
      </c>
      <c r="D31">
        <f t="shared" si="1"/>
        <v>-1.6760772500000001E-4</v>
      </c>
      <c r="E31">
        <f t="shared" si="2"/>
        <v>2.9553764100000001E-5</v>
      </c>
      <c r="F31" s="9" t="s">
        <v>72</v>
      </c>
      <c r="G31">
        <f t="shared" si="3"/>
        <v>15</v>
      </c>
      <c r="H31">
        <f t="shared" si="4"/>
        <v>1.6760772500000001E-4</v>
      </c>
      <c r="I31">
        <f t="shared" si="5"/>
        <v>2.9553764100000001E-5</v>
      </c>
      <c r="J31" s="9" t="s">
        <v>6</v>
      </c>
      <c r="K31">
        <f t="shared" si="6"/>
        <v>2</v>
      </c>
      <c r="L31">
        <f t="shared" si="7"/>
        <v>0</v>
      </c>
      <c r="M31">
        <f t="shared" si="8"/>
        <v>0</v>
      </c>
      <c r="N31" s="9" t="s">
        <v>6</v>
      </c>
      <c r="O31">
        <f t="shared" si="9"/>
        <v>2</v>
      </c>
      <c r="P31">
        <f t="shared" si="10"/>
        <v>0</v>
      </c>
      <c r="Q31">
        <f t="shared" si="11"/>
        <v>0</v>
      </c>
    </row>
    <row r="32" spans="1:17" x14ac:dyDescent="0.25">
      <c r="A32" s="5">
        <v>30</v>
      </c>
      <c r="B32" s="4" t="s">
        <v>30</v>
      </c>
      <c r="C32">
        <f t="shared" si="0"/>
        <v>16</v>
      </c>
      <c r="D32">
        <f t="shared" si="1"/>
        <v>-1.08603256E-4</v>
      </c>
      <c r="E32">
        <f t="shared" si="2"/>
        <v>1.91496842E-5</v>
      </c>
      <c r="F32" s="9" t="s">
        <v>73</v>
      </c>
      <c r="G32">
        <f t="shared" si="3"/>
        <v>15</v>
      </c>
      <c r="H32">
        <f t="shared" si="4"/>
        <v>1.08603256E-4</v>
      </c>
      <c r="I32">
        <f t="shared" si="5"/>
        <v>1.91496842E-5</v>
      </c>
      <c r="J32" s="9" t="s">
        <v>6</v>
      </c>
      <c r="K32">
        <f t="shared" si="6"/>
        <v>2</v>
      </c>
      <c r="L32">
        <f t="shared" si="7"/>
        <v>0</v>
      </c>
      <c r="M32">
        <f t="shared" si="8"/>
        <v>0</v>
      </c>
      <c r="N32" s="9" t="s">
        <v>6</v>
      </c>
      <c r="O32">
        <f t="shared" si="9"/>
        <v>2</v>
      </c>
      <c r="P32">
        <f t="shared" si="10"/>
        <v>0</v>
      </c>
      <c r="Q32">
        <f t="shared" si="11"/>
        <v>0</v>
      </c>
    </row>
    <row r="33" spans="1:17" x14ac:dyDescent="0.25">
      <c r="A33" s="5">
        <v>31</v>
      </c>
      <c r="B33" s="4" t="s">
        <v>31</v>
      </c>
      <c r="C33">
        <f t="shared" si="0"/>
        <v>17</v>
      </c>
      <c r="D33">
        <f t="shared" si="1"/>
        <v>-6.4712028900000001E-5</v>
      </c>
      <c r="E33">
        <f t="shared" si="2"/>
        <v>1.1410476699999999E-5</v>
      </c>
      <c r="F33" s="9" t="s">
        <v>74</v>
      </c>
      <c r="G33">
        <f t="shared" si="3"/>
        <v>16</v>
      </c>
      <c r="H33">
        <f t="shared" si="4"/>
        <v>6.4712028900000001E-5</v>
      </c>
      <c r="I33">
        <f t="shared" si="5"/>
        <v>1.1410476699999999E-5</v>
      </c>
      <c r="J33" s="9" t="s">
        <v>6</v>
      </c>
      <c r="K33">
        <f t="shared" si="6"/>
        <v>2</v>
      </c>
      <c r="L33">
        <f t="shared" si="7"/>
        <v>0</v>
      </c>
      <c r="M33">
        <f t="shared" si="8"/>
        <v>0</v>
      </c>
      <c r="N33" s="9" t="s">
        <v>6</v>
      </c>
      <c r="O33">
        <f t="shared" si="9"/>
        <v>2</v>
      </c>
      <c r="P33">
        <f t="shared" si="10"/>
        <v>0</v>
      </c>
      <c r="Q33">
        <f t="shared" si="11"/>
        <v>0</v>
      </c>
    </row>
    <row r="34" spans="1:17" x14ac:dyDescent="0.25">
      <c r="A34" s="5">
        <v>32</v>
      </c>
      <c r="B34" s="4" t="s">
        <v>32</v>
      </c>
      <c r="C34">
        <f t="shared" si="0"/>
        <v>17</v>
      </c>
      <c r="D34">
        <f t="shared" si="1"/>
        <v>-3.5565122000000003E-5</v>
      </c>
      <c r="E34">
        <f t="shared" si="2"/>
        <v>6.2710905800000001E-6</v>
      </c>
      <c r="F34" s="9" t="s">
        <v>75</v>
      </c>
      <c r="G34">
        <f t="shared" si="3"/>
        <v>16</v>
      </c>
      <c r="H34">
        <f t="shared" si="4"/>
        <v>3.5565122000000003E-5</v>
      </c>
      <c r="I34">
        <f t="shared" si="5"/>
        <v>6.2710905800000001E-6</v>
      </c>
      <c r="J34" s="9" t="s">
        <v>6</v>
      </c>
      <c r="K34">
        <f t="shared" si="6"/>
        <v>2</v>
      </c>
      <c r="L34">
        <f t="shared" si="7"/>
        <v>0</v>
      </c>
      <c r="M34">
        <f t="shared" si="8"/>
        <v>0</v>
      </c>
      <c r="N34" s="9" t="s">
        <v>6</v>
      </c>
      <c r="O34">
        <f t="shared" si="9"/>
        <v>2</v>
      </c>
      <c r="P34">
        <f t="shared" si="10"/>
        <v>0</v>
      </c>
      <c r="Q34">
        <f t="shared" si="11"/>
        <v>0</v>
      </c>
    </row>
    <row r="35" spans="1:17" x14ac:dyDescent="0.25">
      <c r="A35" s="5">
        <v>33</v>
      </c>
      <c r="B35" s="4" t="s">
        <v>33</v>
      </c>
      <c r="C35">
        <f t="shared" si="0"/>
        <v>17</v>
      </c>
      <c r="D35">
        <f t="shared" si="1"/>
        <v>-1.8103117700000001E-5</v>
      </c>
      <c r="E35">
        <f t="shared" si="2"/>
        <v>3.1920680800000002E-6</v>
      </c>
      <c r="F35" s="9" t="s">
        <v>76</v>
      </c>
      <c r="G35">
        <f t="shared" si="3"/>
        <v>16</v>
      </c>
      <c r="H35">
        <f t="shared" si="4"/>
        <v>1.8103117700000001E-5</v>
      </c>
      <c r="I35">
        <f t="shared" si="5"/>
        <v>3.1920680800000002E-6</v>
      </c>
      <c r="J35" s="9" t="s">
        <v>6</v>
      </c>
      <c r="K35">
        <f t="shared" si="6"/>
        <v>2</v>
      </c>
      <c r="L35">
        <f t="shared" si="7"/>
        <v>0</v>
      </c>
      <c r="M35">
        <f t="shared" si="8"/>
        <v>0</v>
      </c>
      <c r="N35" s="9" t="s">
        <v>6</v>
      </c>
      <c r="O35">
        <f t="shared" si="9"/>
        <v>2</v>
      </c>
      <c r="P35">
        <f t="shared" si="10"/>
        <v>0</v>
      </c>
      <c r="Q35">
        <f t="shared" si="11"/>
        <v>0</v>
      </c>
    </row>
    <row r="36" spans="1:17" x14ac:dyDescent="0.25">
      <c r="A36" s="5">
        <v>34</v>
      </c>
      <c r="B36" s="4" t="s">
        <v>34</v>
      </c>
      <c r="C36">
        <f t="shared" si="0"/>
        <v>18</v>
      </c>
      <c r="D36">
        <f t="shared" si="1"/>
        <v>-8.5852552300000002E-6</v>
      </c>
      <c r="E36">
        <f t="shared" si="2"/>
        <v>1.51381213E-6</v>
      </c>
      <c r="F36" s="9" t="s">
        <v>77</v>
      </c>
      <c r="G36">
        <f t="shared" si="3"/>
        <v>17</v>
      </c>
      <c r="H36">
        <f t="shared" si="4"/>
        <v>8.5852552300000002E-6</v>
      </c>
      <c r="I36">
        <f t="shared" si="5"/>
        <v>1.51381213E-6</v>
      </c>
      <c r="J36" s="9" t="s">
        <v>6</v>
      </c>
      <c r="K36">
        <f t="shared" si="6"/>
        <v>2</v>
      </c>
      <c r="L36">
        <f t="shared" si="7"/>
        <v>0</v>
      </c>
      <c r="M36">
        <f t="shared" si="8"/>
        <v>0</v>
      </c>
      <c r="N36" s="9" t="s">
        <v>6</v>
      </c>
      <c r="O36">
        <f t="shared" si="9"/>
        <v>2</v>
      </c>
      <c r="P36">
        <f t="shared" si="10"/>
        <v>0</v>
      </c>
      <c r="Q36">
        <f t="shared" si="11"/>
        <v>0</v>
      </c>
    </row>
    <row r="37" spans="1:17" x14ac:dyDescent="0.25">
      <c r="A37" s="5">
        <v>35</v>
      </c>
      <c r="B37" s="4" t="s">
        <v>35</v>
      </c>
      <c r="C37">
        <f t="shared" si="0"/>
        <v>18</v>
      </c>
      <c r="D37">
        <f t="shared" si="1"/>
        <v>-3.8274163199999999E-6</v>
      </c>
      <c r="E37">
        <f t="shared" si="2"/>
        <v>6.7487676399999998E-7</v>
      </c>
      <c r="F37" s="9" t="s">
        <v>78</v>
      </c>
      <c r="G37">
        <f t="shared" si="3"/>
        <v>17</v>
      </c>
      <c r="H37">
        <f t="shared" si="4"/>
        <v>3.8274163199999999E-6</v>
      </c>
      <c r="I37">
        <f t="shared" si="5"/>
        <v>6.7487676399999998E-7</v>
      </c>
      <c r="J37" s="9" t="s">
        <v>6</v>
      </c>
      <c r="K37">
        <f t="shared" si="6"/>
        <v>2</v>
      </c>
      <c r="L37">
        <f t="shared" si="7"/>
        <v>0</v>
      </c>
      <c r="M37">
        <f t="shared" si="8"/>
        <v>0</v>
      </c>
      <c r="N37" s="9" t="s">
        <v>6</v>
      </c>
      <c r="O37">
        <f t="shared" si="9"/>
        <v>2</v>
      </c>
      <c r="P37">
        <f t="shared" si="10"/>
        <v>0</v>
      </c>
      <c r="Q37">
        <f t="shared" si="11"/>
        <v>0</v>
      </c>
    </row>
    <row r="38" spans="1:17" x14ac:dyDescent="0.25">
      <c r="A38" s="5">
        <v>36</v>
      </c>
      <c r="B38" s="4" t="s">
        <v>36</v>
      </c>
      <c r="C38">
        <f t="shared" si="0"/>
        <v>18</v>
      </c>
      <c r="D38">
        <f t="shared" si="1"/>
        <v>-1.62608314E-6</v>
      </c>
      <c r="E38">
        <f t="shared" si="2"/>
        <v>2.8672233E-7</v>
      </c>
      <c r="F38" s="9" t="s">
        <v>79</v>
      </c>
      <c r="G38">
        <f t="shared" si="3"/>
        <v>17</v>
      </c>
      <c r="H38">
        <f t="shared" si="4"/>
        <v>1.62608314E-6</v>
      </c>
      <c r="I38">
        <f t="shared" si="5"/>
        <v>2.8672233E-7</v>
      </c>
      <c r="J38" s="9" t="s">
        <v>6</v>
      </c>
      <c r="K38">
        <f t="shared" si="6"/>
        <v>2</v>
      </c>
      <c r="L38">
        <f t="shared" si="7"/>
        <v>0</v>
      </c>
      <c r="M38">
        <f t="shared" si="8"/>
        <v>0</v>
      </c>
      <c r="N38" s="9" t="s">
        <v>6</v>
      </c>
      <c r="O38">
        <f t="shared" si="9"/>
        <v>2</v>
      </c>
      <c r="P38">
        <f t="shared" si="10"/>
        <v>0</v>
      </c>
      <c r="Q38">
        <f t="shared" si="11"/>
        <v>0</v>
      </c>
    </row>
    <row r="39" spans="1:17" x14ac:dyDescent="0.25">
      <c r="A39" s="5">
        <v>37</v>
      </c>
      <c r="B39" s="4" t="s">
        <v>37</v>
      </c>
      <c r="C39">
        <f t="shared" si="0"/>
        <v>19</v>
      </c>
      <c r="D39">
        <f t="shared" si="1"/>
        <v>-6.71726893E-7</v>
      </c>
      <c r="E39">
        <f t="shared" si="2"/>
        <v>1.1844357500000001E-7</v>
      </c>
      <c r="F39" s="9" t="s">
        <v>80</v>
      </c>
      <c r="G39">
        <f t="shared" si="3"/>
        <v>18</v>
      </c>
      <c r="H39">
        <f t="shared" si="4"/>
        <v>6.71726893E-7</v>
      </c>
      <c r="I39">
        <f t="shared" si="5"/>
        <v>1.1844357500000001E-7</v>
      </c>
      <c r="J39" s="9" t="s">
        <v>6</v>
      </c>
      <c r="K39">
        <f t="shared" si="6"/>
        <v>2</v>
      </c>
      <c r="L39">
        <f t="shared" si="7"/>
        <v>0</v>
      </c>
      <c r="M39">
        <f t="shared" si="8"/>
        <v>0</v>
      </c>
      <c r="N39" s="9" t="s">
        <v>6</v>
      </c>
      <c r="O39">
        <f t="shared" si="9"/>
        <v>2</v>
      </c>
      <c r="P39">
        <f t="shared" si="10"/>
        <v>0</v>
      </c>
      <c r="Q39">
        <f t="shared" si="11"/>
        <v>0</v>
      </c>
    </row>
    <row r="40" spans="1:17" x14ac:dyDescent="0.25">
      <c r="A40" s="5">
        <v>38</v>
      </c>
      <c r="B40" s="4" t="s">
        <v>38</v>
      </c>
      <c r="C40">
        <f t="shared" si="0"/>
        <v>19</v>
      </c>
      <c r="D40">
        <f t="shared" si="1"/>
        <v>-2.77408485E-7</v>
      </c>
      <c r="E40">
        <f t="shared" si="2"/>
        <v>4.8914600499999998E-8</v>
      </c>
      <c r="F40" s="9" t="s">
        <v>81</v>
      </c>
      <c r="G40">
        <f t="shared" si="3"/>
        <v>18</v>
      </c>
      <c r="H40">
        <f t="shared" si="4"/>
        <v>2.77408485E-7</v>
      </c>
      <c r="I40">
        <f t="shared" si="5"/>
        <v>4.8914600499999998E-8</v>
      </c>
      <c r="J40" s="9" t="s">
        <v>6</v>
      </c>
      <c r="K40">
        <f t="shared" si="6"/>
        <v>2</v>
      </c>
      <c r="L40">
        <f t="shared" si="7"/>
        <v>0</v>
      </c>
      <c r="M40">
        <f t="shared" si="8"/>
        <v>0</v>
      </c>
      <c r="N40" s="9" t="s">
        <v>6</v>
      </c>
      <c r="O40">
        <f t="shared" si="9"/>
        <v>2</v>
      </c>
      <c r="P40">
        <f t="shared" si="10"/>
        <v>0</v>
      </c>
      <c r="Q40">
        <f t="shared" si="11"/>
        <v>0</v>
      </c>
    </row>
    <row r="41" spans="1:17" x14ac:dyDescent="0.25">
      <c r="A41" s="5">
        <v>39</v>
      </c>
      <c r="B41" s="4" t="s">
        <v>39</v>
      </c>
      <c r="C41">
        <f t="shared" si="0"/>
        <v>19</v>
      </c>
      <c r="D41">
        <f t="shared" si="1"/>
        <v>-1.6170822700000001E-7</v>
      </c>
      <c r="E41">
        <f t="shared" si="2"/>
        <v>2.8513523499999998E-8</v>
      </c>
      <c r="F41" s="9" t="s">
        <v>82</v>
      </c>
      <c r="G41">
        <f t="shared" si="3"/>
        <v>18</v>
      </c>
      <c r="H41">
        <f t="shared" si="4"/>
        <v>1.6170822700000001E-7</v>
      </c>
      <c r="I41">
        <f t="shared" si="5"/>
        <v>2.8513523499999998E-8</v>
      </c>
      <c r="J41" s="9" t="s">
        <v>6</v>
      </c>
      <c r="K41">
        <f t="shared" si="6"/>
        <v>2</v>
      </c>
      <c r="L41">
        <f t="shared" si="7"/>
        <v>0</v>
      </c>
      <c r="M41">
        <f t="shared" si="8"/>
        <v>0</v>
      </c>
      <c r="N41" s="9" t="s">
        <v>6</v>
      </c>
      <c r="O41">
        <f t="shared" si="9"/>
        <v>2</v>
      </c>
      <c r="P41">
        <f t="shared" si="10"/>
        <v>0</v>
      </c>
      <c r="Q41">
        <f t="shared" si="11"/>
        <v>0</v>
      </c>
    </row>
    <row r="42" spans="1:17" x14ac:dyDescent="0.25">
      <c r="A42" s="5">
        <v>40</v>
      </c>
      <c r="B42" s="4" t="s">
        <v>40</v>
      </c>
      <c r="C42">
        <f t="shared" si="0"/>
        <v>20</v>
      </c>
      <c r="D42">
        <f t="shared" si="1"/>
        <v>-5.0543652500000003E-8</v>
      </c>
      <c r="E42">
        <f t="shared" si="2"/>
        <v>8.9122096400000006E-9</v>
      </c>
      <c r="F42" s="9" t="s">
        <v>83</v>
      </c>
      <c r="G42">
        <f t="shared" si="3"/>
        <v>19</v>
      </c>
      <c r="H42">
        <f t="shared" si="4"/>
        <v>5.0543652500000003E-8</v>
      </c>
      <c r="I42">
        <f t="shared" si="5"/>
        <v>8.9122096400000006E-9</v>
      </c>
      <c r="J42" s="9" t="s">
        <v>6</v>
      </c>
      <c r="K42">
        <f t="shared" si="6"/>
        <v>2</v>
      </c>
      <c r="L42">
        <f t="shared" si="7"/>
        <v>0</v>
      </c>
      <c r="M42">
        <f t="shared" si="8"/>
        <v>0</v>
      </c>
      <c r="N42" s="9" t="s">
        <v>6</v>
      </c>
      <c r="O42">
        <f t="shared" si="9"/>
        <v>2</v>
      </c>
      <c r="P42">
        <f t="shared" si="10"/>
        <v>0</v>
      </c>
      <c r="Q42">
        <f t="shared" si="11"/>
        <v>0</v>
      </c>
    </row>
    <row r="43" spans="1:17" x14ac:dyDescent="0.25">
      <c r="A43" s="5">
        <v>41</v>
      </c>
      <c r="B43" s="4" t="s">
        <v>41</v>
      </c>
      <c r="C43">
        <f t="shared" si="0"/>
        <v>22</v>
      </c>
      <c r="D43">
        <f t="shared" si="1"/>
        <v>-3.3459794400000002E-10</v>
      </c>
      <c r="E43">
        <f t="shared" si="2"/>
        <v>5.8998645199999996E-11</v>
      </c>
      <c r="F43" s="9" t="s">
        <v>84</v>
      </c>
      <c r="G43">
        <f t="shared" si="3"/>
        <v>21</v>
      </c>
      <c r="H43">
        <f t="shared" si="4"/>
        <v>3.3459794400000002E-10</v>
      </c>
      <c r="I43">
        <f t="shared" si="5"/>
        <v>5.8998645199999996E-11</v>
      </c>
      <c r="J43" s="9" t="s">
        <v>6</v>
      </c>
      <c r="K43">
        <f t="shared" si="6"/>
        <v>2</v>
      </c>
      <c r="L43">
        <f t="shared" si="7"/>
        <v>0</v>
      </c>
      <c r="M43">
        <f t="shared" si="8"/>
        <v>0</v>
      </c>
      <c r="N43" s="9" t="s">
        <v>6</v>
      </c>
      <c r="O43">
        <f t="shared" si="9"/>
        <v>2</v>
      </c>
      <c r="P43">
        <f t="shared" si="10"/>
        <v>0</v>
      </c>
      <c r="Q43">
        <f t="shared" si="11"/>
        <v>0</v>
      </c>
    </row>
    <row r="44" spans="1:17" x14ac:dyDescent="0.25">
      <c r="A44" s="5">
        <v>42</v>
      </c>
      <c r="B44" s="4" t="s">
        <v>42</v>
      </c>
      <c r="C44">
        <f t="shared" si="0"/>
        <v>24</v>
      </c>
      <c r="D44">
        <f t="shared" si="1"/>
        <v>-1.5105829000000001E-12</v>
      </c>
      <c r="E44">
        <f t="shared" si="2"/>
        <v>2.6635652099999998E-13</v>
      </c>
      <c r="F44" s="9" t="s">
        <v>85</v>
      </c>
      <c r="G44">
        <f t="shared" si="3"/>
        <v>23</v>
      </c>
      <c r="H44">
        <f t="shared" si="4"/>
        <v>1.5105829000000001E-12</v>
      </c>
      <c r="I44">
        <f t="shared" si="5"/>
        <v>2.6635652099999998E-13</v>
      </c>
      <c r="J44" s="9" t="s">
        <v>6</v>
      </c>
      <c r="K44">
        <f t="shared" si="6"/>
        <v>2</v>
      </c>
      <c r="L44">
        <f t="shared" si="7"/>
        <v>0</v>
      </c>
      <c r="M44">
        <f t="shared" si="8"/>
        <v>0</v>
      </c>
      <c r="N44" s="9" t="s">
        <v>6</v>
      </c>
      <c r="O44">
        <f t="shared" si="9"/>
        <v>2</v>
      </c>
      <c r="P44">
        <f t="shared" si="10"/>
        <v>0</v>
      </c>
      <c r="Q44">
        <f t="shared" si="11"/>
        <v>0</v>
      </c>
    </row>
    <row r="45" spans="1:17" x14ac:dyDescent="0.25">
      <c r="A45" s="5">
        <v>43</v>
      </c>
      <c r="B45" s="4" t="s">
        <v>6</v>
      </c>
      <c r="C45">
        <f t="shared" si="0"/>
        <v>2</v>
      </c>
      <c r="D45">
        <f t="shared" si="1"/>
        <v>0</v>
      </c>
      <c r="E45">
        <f t="shared" si="2"/>
        <v>0</v>
      </c>
      <c r="F45" s="9" t="s">
        <v>6</v>
      </c>
      <c r="G45">
        <f t="shared" si="3"/>
        <v>2</v>
      </c>
      <c r="H45">
        <f t="shared" si="4"/>
        <v>0</v>
      </c>
      <c r="I45">
        <f t="shared" si="5"/>
        <v>0</v>
      </c>
      <c r="J45" s="9" t="s">
        <v>6</v>
      </c>
      <c r="K45">
        <f t="shared" si="6"/>
        <v>2</v>
      </c>
      <c r="L45">
        <f t="shared" si="7"/>
        <v>0</v>
      </c>
      <c r="M45">
        <f t="shared" si="8"/>
        <v>0</v>
      </c>
      <c r="N45" s="9" t="s">
        <v>6</v>
      </c>
      <c r="O45">
        <f t="shared" si="9"/>
        <v>2</v>
      </c>
      <c r="P45">
        <f t="shared" si="10"/>
        <v>0</v>
      </c>
      <c r="Q45">
        <f t="shared" si="11"/>
        <v>0</v>
      </c>
    </row>
    <row r="46" spans="1:17" x14ac:dyDescent="0.25">
      <c r="A46" s="5">
        <v>44</v>
      </c>
      <c r="B46" s="4" t="s">
        <v>6</v>
      </c>
      <c r="C46">
        <f t="shared" si="0"/>
        <v>2</v>
      </c>
      <c r="D46">
        <f t="shared" si="1"/>
        <v>0</v>
      </c>
      <c r="E46">
        <f t="shared" si="2"/>
        <v>0</v>
      </c>
      <c r="F46" s="9" t="s">
        <v>6</v>
      </c>
      <c r="G46">
        <f t="shared" si="3"/>
        <v>2</v>
      </c>
      <c r="H46">
        <f t="shared" si="4"/>
        <v>0</v>
      </c>
      <c r="I46">
        <f t="shared" si="5"/>
        <v>0</v>
      </c>
      <c r="J46" s="9" t="s">
        <v>6</v>
      </c>
      <c r="K46">
        <f t="shared" si="6"/>
        <v>2</v>
      </c>
      <c r="L46">
        <f t="shared" si="7"/>
        <v>0</v>
      </c>
      <c r="M46">
        <f t="shared" si="8"/>
        <v>0</v>
      </c>
      <c r="N46" s="9" t="s">
        <v>6</v>
      </c>
      <c r="O46">
        <f t="shared" si="9"/>
        <v>2</v>
      </c>
      <c r="P46">
        <f t="shared" si="10"/>
        <v>0</v>
      </c>
      <c r="Q46">
        <f t="shared" si="11"/>
        <v>0</v>
      </c>
    </row>
    <row r="47" spans="1:17" x14ac:dyDescent="0.25">
      <c r="A47" s="5">
        <v>45</v>
      </c>
      <c r="B47" s="4" t="s">
        <v>6</v>
      </c>
      <c r="C47">
        <f t="shared" si="0"/>
        <v>2</v>
      </c>
      <c r="D47">
        <f t="shared" si="1"/>
        <v>0</v>
      </c>
      <c r="E47">
        <f t="shared" si="2"/>
        <v>0</v>
      </c>
      <c r="F47" s="9" t="s">
        <v>6</v>
      </c>
      <c r="G47">
        <f t="shared" si="3"/>
        <v>2</v>
      </c>
      <c r="H47">
        <f t="shared" si="4"/>
        <v>0</v>
      </c>
      <c r="I47">
        <f t="shared" si="5"/>
        <v>0</v>
      </c>
      <c r="J47" s="9" t="s">
        <v>6</v>
      </c>
      <c r="K47">
        <f t="shared" si="6"/>
        <v>2</v>
      </c>
      <c r="L47">
        <f t="shared" si="7"/>
        <v>0</v>
      </c>
      <c r="M47">
        <f t="shared" si="8"/>
        <v>0</v>
      </c>
      <c r="N47" s="9" t="s">
        <v>6</v>
      </c>
      <c r="O47">
        <f t="shared" si="9"/>
        <v>2</v>
      </c>
      <c r="P47">
        <f t="shared" si="10"/>
        <v>0</v>
      </c>
      <c r="Q47">
        <f t="shared" si="11"/>
        <v>0</v>
      </c>
    </row>
    <row r="48" spans="1:17" x14ac:dyDescent="0.25">
      <c r="A48" s="5">
        <v>46</v>
      </c>
      <c r="B48" s="4" t="s">
        <v>6</v>
      </c>
      <c r="C48">
        <f t="shared" si="0"/>
        <v>2</v>
      </c>
      <c r="D48">
        <f t="shared" si="1"/>
        <v>0</v>
      </c>
      <c r="E48">
        <f t="shared" si="2"/>
        <v>0</v>
      </c>
      <c r="F48" s="9" t="s">
        <v>6</v>
      </c>
      <c r="G48">
        <f t="shared" si="3"/>
        <v>2</v>
      </c>
      <c r="H48">
        <f t="shared" si="4"/>
        <v>0</v>
      </c>
      <c r="I48">
        <f t="shared" si="5"/>
        <v>0</v>
      </c>
      <c r="J48" s="9" t="s">
        <v>6</v>
      </c>
      <c r="K48">
        <f t="shared" si="6"/>
        <v>2</v>
      </c>
      <c r="L48">
        <f t="shared" si="7"/>
        <v>0</v>
      </c>
      <c r="M48">
        <f t="shared" si="8"/>
        <v>0</v>
      </c>
      <c r="N48" s="9" t="s">
        <v>6</v>
      </c>
      <c r="O48">
        <f t="shared" si="9"/>
        <v>2</v>
      </c>
      <c r="P48">
        <f t="shared" si="10"/>
        <v>0</v>
      </c>
      <c r="Q48">
        <f t="shared" si="11"/>
        <v>0</v>
      </c>
    </row>
    <row r="49" spans="1:17" x14ac:dyDescent="0.25">
      <c r="A49" s="5">
        <v>47</v>
      </c>
      <c r="B49" s="4" t="s">
        <v>6</v>
      </c>
      <c r="C49">
        <f t="shared" si="0"/>
        <v>2</v>
      </c>
      <c r="D49">
        <f t="shared" si="1"/>
        <v>0</v>
      </c>
      <c r="E49">
        <f t="shared" si="2"/>
        <v>0</v>
      </c>
      <c r="F49" s="9" t="s">
        <v>6</v>
      </c>
      <c r="G49">
        <f t="shared" si="3"/>
        <v>2</v>
      </c>
      <c r="H49">
        <f t="shared" si="4"/>
        <v>0</v>
      </c>
      <c r="I49">
        <f t="shared" si="5"/>
        <v>0</v>
      </c>
      <c r="J49" s="9" t="s">
        <v>6</v>
      </c>
      <c r="K49">
        <f t="shared" si="6"/>
        <v>2</v>
      </c>
      <c r="L49">
        <f t="shared" si="7"/>
        <v>0</v>
      </c>
      <c r="M49">
        <f t="shared" si="8"/>
        <v>0</v>
      </c>
      <c r="N49" s="9" t="s">
        <v>6</v>
      </c>
      <c r="O49">
        <f t="shared" si="9"/>
        <v>2</v>
      </c>
      <c r="P49">
        <f t="shared" si="10"/>
        <v>0</v>
      </c>
      <c r="Q49">
        <f t="shared" si="11"/>
        <v>0</v>
      </c>
    </row>
    <row r="50" spans="1:17" x14ac:dyDescent="0.25">
      <c r="A50" s="5">
        <v>48</v>
      </c>
      <c r="B50" s="4" t="s">
        <v>43</v>
      </c>
      <c r="C50">
        <f t="shared" si="0"/>
        <v>23</v>
      </c>
      <c r="D50">
        <f t="shared" si="1"/>
        <v>-9.0302296299999999E-11</v>
      </c>
      <c r="E50">
        <f t="shared" si="2"/>
        <v>1.5922731300000002E-11</v>
      </c>
      <c r="F50" s="9" t="s">
        <v>86</v>
      </c>
      <c r="G50">
        <f t="shared" si="3"/>
        <v>22</v>
      </c>
      <c r="H50">
        <f t="shared" si="4"/>
        <v>9.0302296299999999E-11</v>
      </c>
      <c r="I50">
        <f t="shared" si="5"/>
        <v>1.5922731300000002E-11</v>
      </c>
      <c r="J50" s="9" t="s">
        <v>90</v>
      </c>
      <c r="K50">
        <f t="shared" si="6"/>
        <v>2</v>
      </c>
      <c r="L50">
        <f t="shared" si="7"/>
        <v>0</v>
      </c>
      <c r="M50">
        <f t="shared" si="8"/>
        <v>4.5793679899999999E-10</v>
      </c>
      <c r="N50" s="9" t="s">
        <v>93</v>
      </c>
      <c r="O50">
        <f t="shared" si="9"/>
        <v>2</v>
      </c>
      <c r="P50">
        <f t="shared" si="10"/>
        <v>0</v>
      </c>
      <c r="Q50">
        <f t="shared" si="11"/>
        <v>-9.1695354799999998E-11</v>
      </c>
    </row>
    <row r="51" spans="1:17" x14ac:dyDescent="0.25">
      <c r="A51" s="5">
        <v>49</v>
      </c>
      <c r="B51" s="4" t="s">
        <v>44</v>
      </c>
      <c r="C51">
        <f t="shared" si="0"/>
        <v>20</v>
      </c>
      <c r="D51">
        <f t="shared" si="1"/>
        <v>-1.7421171500000001E-8</v>
      </c>
      <c r="E51">
        <f t="shared" si="2"/>
        <v>3.0718225699999999E-9</v>
      </c>
      <c r="F51" s="9" t="s">
        <v>87</v>
      </c>
      <c r="G51">
        <f t="shared" si="3"/>
        <v>19</v>
      </c>
      <c r="H51">
        <f t="shared" si="4"/>
        <v>1.7421171500000001E-8</v>
      </c>
      <c r="I51">
        <f t="shared" si="5"/>
        <v>3.0718225699999999E-9</v>
      </c>
      <c r="J51" s="9" t="s">
        <v>89</v>
      </c>
      <c r="K51">
        <f t="shared" si="6"/>
        <v>2</v>
      </c>
      <c r="L51">
        <f t="shared" si="7"/>
        <v>0</v>
      </c>
      <c r="M51">
        <f t="shared" si="8"/>
        <v>2.2260619400000001E-8</v>
      </c>
      <c r="N51" s="9" t="s">
        <v>92</v>
      </c>
      <c r="O51">
        <f t="shared" si="9"/>
        <v>2</v>
      </c>
      <c r="P51">
        <f t="shared" si="10"/>
        <v>0</v>
      </c>
      <c r="Q51">
        <f t="shared" si="11"/>
        <v>-1.76899212E-8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abs_phi</vt:lpstr>
      <vt:lpstr>w</vt:lpstr>
      <vt:lpstr>_fc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</dc:creator>
  <cp:lastModifiedBy>Dirk</cp:lastModifiedBy>
  <dcterms:created xsi:type="dcterms:W3CDTF">2026-02-24T11:54:34Z</dcterms:created>
  <dcterms:modified xsi:type="dcterms:W3CDTF">2026-02-24T17:23:37Z</dcterms:modified>
</cp:coreProperties>
</file>